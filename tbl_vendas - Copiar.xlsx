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hidePivotFieldList="1" defaultThemeVersion="124226"/>
  <xr:revisionPtr revIDLastSave="133" documentId="11_FFC65FC067616D738762AFC81CC35ACC5652756C" xr6:coauthVersionLast="47" xr6:coauthVersionMax="47" xr10:uidLastSave="{3E5DB9D4-4A33-4822-910D-9020CFC596C9}"/>
  <bookViews>
    <workbookView xWindow="240" yWindow="15" windowWidth="16095" windowHeight="9660" firstSheet="6" activeTab="6" xr2:uid="{00000000-000D-0000-FFFF-FFFF00000000}"/>
  </bookViews>
  <sheets>
    <sheet name="Planilha1" sheetId="2" r:id="rId1"/>
    <sheet name="Planilha2" sheetId="3" r:id="rId2"/>
    <sheet name="Planilha3" sheetId="4" r:id="rId3"/>
    <sheet name="Planilha4" sheetId="5" r:id="rId4"/>
    <sheet name="Planilha5" sheetId="6" r:id="rId5"/>
    <sheet name="Planilha6" sheetId="7" r:id="rId6"/>
    <sheet name="Dashboard" sheetId="8" r:id="rId7"/>
    <sheet name="Sheet1" sheetId="1" r:id="rId8"/>
  </sheets>
  <calcPr calcId="191028"/>
  <pivotCaches>
    <pivotCache cacheId="4765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00" i="1" l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2" i="1"/>
</calcChain>
</file>

<file path=xl/sharedStrings.xml><?xml version="1.0" encoding="utf-8"?>
<sst xmlns="http://schemas.openxmlformats.org/spreadsheetml/2006/main" count="5067" uniqueCount="75">
  <si>
    <t>Soma de Valor Total</t>
  </si>
  <si>
    <t>Soma de Quantidade</t>
  </si>
  <si>
    <t>Média de Ticket Médio</t>
  </si>
  <si>
    <t>Categoria</t>
  </si>
  <si>
    <t>Curso</t>
  </si>
  <si>
    <t>Material</t>
  </si>
  <si>
    <t>Mentoria</t>
  </si>
  <si>
    <t>Plano</t>
  </si>
  <si>
    <t>Simulado</t>
  </si>
  <si>
    <t>Total Geral</t>
  </si>
  <si>
    <t>Região</t>
  </si>
  <si>
    <t>Centro-Oeste</t>
  </si>
  <si>
    <t>Nordeste</t>
  </si>
  <si>
    <t>Norte</t>
  </si>
  <si>
    <t>Sudeste</t>
  </si>
  <si>
    <t>Sul</t>
  </si>
  <si>
    <t>Ano--mês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</si>
  <si>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</si>
  <si>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</si>
  <si>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</si>
  <si>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</si>
  <si>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</si>
  <si>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</si>
  <si>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</si>
  <si>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</si>
  <si>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</si>
  <si>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</si>
  <si>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</si>
  <si>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</si>
  <si>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</si>
  <si>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</si>
  <si>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</si>
  <si>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</si>
  <si>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</si>
  <si>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</si>
  <si>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</si>
  <si>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</si>
  <si>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</si>
  <si>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</si>
  <si>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</si>
  <si>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</si>
  <si>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</si>
  <si>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</si>
  <si>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</si>
  <si>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</si>
  <si>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</si>
  <si>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</si>
  <si>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</si>
  <si>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</si>
  <si>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</si>
  <si>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</si>
  <si>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</si>
  <si>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</si>
  <si>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Data</t>
  </si>
  <si>
    <t>Produto</t>
  </si>
  <si>
    <t>Vendedor</t>
  </si>
  <si>
    <t>Quantidade</t>
  </si>
  <si>
    <t>Valor Unitário</t>
  </si>
  <si>
    <t>Canal</t>
  </si>
  <si>
    <t>Valor Total</t>
  </si>
  <si>
    <t>Ticket Médio</t>
  </si>
  <si>
    <t>Plano Premium</t>
  </si>
  <si>
    <t>Carla</t>
  </si>
  <si>
    <t>Online</t>
  </si>
  <si>
    <t>WhatsApp</t>
  </si>
  <si>
    <t>Diego</t>
  </si>
  <si>
    <t>Eduarda</t>
  </si>
  <si>
    <t>Loja</t>
  </si>
  <si>
    <t>Curso ENEM</t>
  </si>
  <si>
    <t>Material Revisão</t>
  </si>
  <si>
    <t>Ana</t>
  </si>
  <si>
    <t>Indicação</t>
  </si>
  <si>
    <t>Simulado Pro</t>
  </si>
  <si>
    <t>Bruno</t>
  </si>
  <si>
    <t>Mentoria ENEM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</si>
</sst>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pivotButton="1"/>
    <xf numFmtId="0" fontId="2" fillId="0" borderId="0" xfId="0" applyFont="1"/>
    <xf numFmtId="0" fontId="1" fillId="2" borderId="2" xfId="0" applyFont="1" applyFill="1" applyBorder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[tbl_vendas.xlsx]Planilha4!Tabela dinâmica5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Planilha4!$A$4:$A$9</c:f>
              <c:strCache>
                <c:ptCount val="5"/>
                <c:pt idx="0">
                  <c:v>Curso</c:v>
                </c:pt>
                <c:pt idx="1">
                  <c:v>Material</c:v>
                </c:pt>
                <c:pt idx="2">
                  <c:v>Mentoria</c:v>
                </c:pt>
                <c:pt idx="3">
                  <c:v>Plano</c:v>
                </c:pt>
                <c:pt idx="4">
                  <c:v>Simulado</c:v>
                </c:pt>
              </c:strCache>
            </c:strRef>
          </c:cat>
          <c:val>
            <c:numRef>
              <c:f>Planilha4!$B$4:$B$9</c:f>
              <c:numCache>
                <c:formatCode>General</c:formatCode>
                <c:ptCount val="5"/>
                <c:pt idx="0">
                  <c:v>283245.5399999998</c:v>
                </c:pt>
                <c:pt idx="1">
                  <c:v>268422.80000000022</c:v>
                </c:pt>
                <c:pt idx="2">
                  <c:v>270202.08</c:v>
                </c:pt>
                <c:pt idx="3">
                  <c:v>254056.6699999999</c:v>
                </c:pt>
                <c:pt idx="4">
                  <c:v>213532.52999999985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B8-4F6E-BA29-207E49857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0007175"/>
        <c:axId val="840034311"/>
      </c:barChart>
      <c:catAx>
        <c:axId val="840007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034311"/>
        <c:crosses val="autoZero"/>
        <c:auto val="1"/>
        <c:lblAlgn val="ctr"/>
        <c:lblOffset val="100"/>
        <c:noMultiLvlLbl val="0"/>
      </c:catAx>
      <c:valAx>
        <c:axId val="840034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007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[tbl_vendas.xlsx]Planilha5!Tabela dinâmica7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 por Região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Planilha5!$B$3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D47-4C1D-A277-16A4A897B787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D47-4C1D-A277-16A4A897B787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D47-4C1D-A277-16A4A897B787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D47-4C1D-A277-16A4A897B787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D47-4C1D-A277-16A4A897B787}"/>
              </c:ext>
            </c:extLst>
          </c:dPt>
          <c:cat>
            <c:strRef>
              <c:f>Planilha5!$A$4:$A$9</c:f>
              <c:strCache>
                <c:ptCount val="5"/>
                <c:pt idx="0">
                  <c:v>Centro-Oeste</c:v>
                </c:pt>
                <c:pt idx="1">
                  <c:v>Nordeste</c:v>
                </c:pt>
                <c:pt idx="2">
                  <c:v>Norte</c:v>
                </c:pt>
                <c:pt idx="3">
                  <c:v>Sudeste</c:v>
                </c:pt>
                <c:pt idx="4">
                  <c:v>Sul</c:v>
                </c:pt>
              </c:strCache>
            </c:strRef>
          </c:cat>
          <c:val>
            <c:numRef>
              <c:f>Planilha5!$B$4:$B$9</c:f>
              <c:numCache>
                <c:formatCode>General</c:formatCode>
                <c:ptCount val="5"/>
                <c:pt idx="0">
                  <c:v>231483.3299999999</c:v>
                </c:pt>
                <c:pt idx="1">
                  <c:v>278237.72999999986</c:v>
                </c:pt>
                <c:pt idx="2">
                  <c:v>255500.72</c:v>
                </c:pt>
                <c:pt idx="3">
                  <c:v>244595.32999999993</c:v>
                </c:pt>
                <c:pt idx="4">
                  <c:v>279642.50999999995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15-4173-BCB9-EF425AE1B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[tbl_vendas.xlsx]Planilha6!Tabela dinâmica9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Mensal do Faturamento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Planilha6!$B$3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Planilha6!$A$4:$A$40</c:f>
              <c:strCache>
                <c:ptCount val="36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  <c:pt idx="30">
                  <c:v>2025-07</c:v>
                </c:pt>
                <c:pt idx="31">
                  <c:v>2025-08</c:v>
                </c:pt>
                <c:pt idx="32">
                  <c:v>2025-09</c:v>
                </c:pt>
                <c:pt idx="33">
                  <c:v>2025-10</c:v>
                </c:pt>
                <c:pt idx="34">
                  <c:v>2025-11</c:v>
                </c:pt>
                <c:pt idx="35">
                  <c:v>2025-12</c:v>
                </c:pt>
              </c:strCache>
            </c:strRef>
          </c:cat>
          <c:val>
            <c:numRef>
              <c:f>Planilha6!$B$4:$B$40</c:f>
              <c:numCache>
                <c:formatCode>General</c:formatCode>
                <c:ptCount val="36"/>
                <c:pt idx="0">
                  <c:v>36483.960000000014</c:v>
                </c:pt>
                <c:pt idx="1">
                  <c:v>33368.6</c:v>
                </c:pt>
                <c:pt idx="2">
                  <c:v>36073.370000000003</c:v>
                </c:pt>
                <c:pt idx="3">
                  <c:v>39370.31</c:v>
                </c:pt>
                <c:pt idx="4">
                  <c:v>48694.44000000001</c:v>
                </c:pt>
                <c:pt idx="5">
                  <c:v>28323.54</c:v>
                </c:pt>
                <c:pt idx="6">
                  <c:v>29014.03</c:v>
                </c:pt>
                <c:pt idx="7">
                  <c:v>32895.990000000005</c:v>
                </c:pt>
                <c:pt idx="8">
                  <c:v>44356.920000000006</c:v>
                </c:pt>
                <c:pt idx="9">
                  <c:v>36644.58</c:v>
                </c:pt>
                <c:pt idx="10">
                  <c:v>36442.579999999994</c:v>
                </c:pt>
                <c:pt idx="11">
                  <c:v>34909.340000000004</c:v>
                </c:pt>
                <c:pt idx="12">
                  <c:v>35598.380000000005</c:v>
                </c:pt>
                <c:pt idx="13">
                  <c:v>32849.25</c:v>
                </c:pt>
                <c:pt idx="14">
                  <c:v>45622.529999999992</c:v>
                </c:pt>
                <c:pt idx="15">
                  <c:v>35120.559999999998</c:v>
                </c:pt>
                <c:pt idx="16">
                  <c:v>35271.760000000002</c:v>
                </c:pt>
                <c:pt idx="17">
                  <c:v>35025.130000000012</c:v>
                </c:pt>
                <c:pt idx="18">
                  <c:v>39690.99</c:v>
                </c:pt>
                <c:pt idx="19">
                  <c:v>38855.229999999996</c:v>
                </c:pt>
                <c:pt idx="20">
                  <c:v>32488.080000000005</c:v>
                </c:pt>
                <c:pt idx="21">
                  <c:v>36913.560000000005</c:v>
                </c:pt>
                <c:pt idx="22">
                  <c:v>34729.5</c:v>
                </c:pt>
                <c:pt idx="23">
                  <c:v>29563.45</c:v>
                </c:pt>
                <c:pt idx="24">
                  <c:v>33534.03</c:v>
                </c:pt>
                <c:pt idx="25">
                  <c:v>27273.52</c:v>
                </c:pt>
                <c:pt idx="26">
                  <c:v>37605.020000000011</c:v>
                </c:pt>
                <c:pt idx="27">
                  <c:v>38515.950000000004</c:v>
                </c:pt>
                <c:pt idx="28">
                  <c:v>31633.489999999998</c:v>
                </c:pt>
                <c:pt idx="29">
                  <c:v>33553.670000000006</c:v>
                </c:pt>
                <c:pt idx="30">
                  <c:v>36416.120000000003</c:v>
                </c:pt>
                <c:pt idx="31">
                  <c:v>43569.970000000008</c:v>
                </c:pt>
                <c:pt idx="32">
                  <c:v>37939.67</c:v>
                </c:pt>
                <c:pt idx="33">
                  <c:v>35220.78</c:v>
                </c:pt>
                <c:pt idx="34">
                  <c:v>31463.979999999996</c:v>
                </c:pt>
                <c:pt idx="35">
                  <c:v>34427.339999999997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22-4878-8830-7849FC99F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7941000"/>
        <c:axId val="1857942024"/>
      </c:lineChart>
      <c:catAx>
        <c:axId val="1857941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942024"/>
        <c:crosses val="autoZero"/>
        <c:auto val="1"/>
        <c:lblAlgn val="ctr"/>
        <c:lblOffset val="100"/>
        <c:noMultiLvlLbl val="0"/>
      </c:catAx>
      <c:valAx>
        <c:axId val="1857942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941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[tbl_vendas.xlsx]Planilha4!Tabela dinâmica5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Planilha4!$A$4:$A$9</c:f>
              <c:strCache>
                <c:ptCount val="5"/>
                <c:pt idx="0">
                  <c:v>Curso</c:v>
                </c:pt>
                <c:pt idx="1">
                  <c:v>Material</c:v>
                </c:pt>
                <c:pt idx="2">
                  <c:v>Mentoria</c:v>
                </c:pt>
                <c:pt idx="3">
                  <c:v>Plano</c:v>
                </c:pt>
                <c:pt idx="4">
                  <c:v>Simulado</c:v>
                </c:pt>
              </c:strCache>
            </c:strRef>
          </c:cat>
          <c:val>
            <c:numRef>
              <c:f>Planilha4!$B$4:$B$9</c:f>
              <c:numCache>
                <c:formatCode>General</c:formatCode>
                <c:ptCount val="5"/>
                <c:pt idx="0">
                  <c:v>283245.5399999998</c:v>
                </c:pt>
                <c:pt idx="1">
                  <c:v>268422.80000000022</c:v>
                </c:pt>
                <c:pt idx="2">
                  <c:v>270202.08</c:v>
                </c:pt>
                <c:pt idx="3">
                  <c:v>254056.6699999999</c:v>
                </c:pt>
                <c:pt idx="4">
                  <c:v>213532.52999999985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1B-464B-887D-2E073811B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0007175"/>
        <c:axId val="840034311"/>
      </c:barChart>
      <c:catAx>
        <c:axId val="840007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034311"/>
        <c:crosses val="autoZero"/>
        <c:auto val="1"/>
        <c:lblAlgn val="ctr"/>
        <c:lblOffset val="100"/>
        <c:noMultiLvlLbl val="0"/>
      </c:catAx>
      <c:valAx>
        <c:axId val="840034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007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[tbl_vendas.xlsx]Planilha5!Tabela dinâmica7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 por Região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Planilha5!$B$3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9CA-424F-9D5D-A05692929783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CA-424F-9D5D-A05692929783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9CA-424F-9D5D-A05692929783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9CA-424F-9D5D-A05692929783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9CA-424F-9D5D-A05692929783}"/>
              </c:ext>
            </c:extLst>
          </c:dPt>
          <c:cat>
            <c:strRef>
              <c:f>Planilha5!$A$4:$A$9</c:f>
              <c:strCache>
                <c:ptCount val="5"/>
                <c:pt idx="0">
                  <c:v>Centro-Oeste</c:v>
                </c:pt>
                <c:pt idx="1">
                  <c:v>Nordeste</c:v>
                </c:pt>
                <c:pt idx="2">
                  <c:v>Norte</c:v>
                </c:pt>
                <c:pt idx="3">
                  <c:v>Sudeste</c:v>
                </c:pt>
                <c:pt idx="4">
                  <c:v>Sul</c:v>
                </c:pt>
              </c:strCache>
            </c:strRef>
          </c:cat>
          <c:val>
            <c:numRef>
              <c:f>Planilha5!$B$4:$B$9</c:f>
              <c:numCache>
                <c:formatCode>General</c:formatCode>
                <c:ptCount val="5"/>
                <c:pt idx="0">
                  <c:v>231483.3299999999</c:v>
                </c:pt>
                <c:pt idx="1">
                  <c:v>278237.72999999986</c:v>
                </c:pt>
                <c:pt idx="2">
                  <c:v>255500.72</c:v>
                </c:pt>
                <c:pt idx="3">
                  <c:v>244595.32999999993</c:v>
                </c:pt>
                <c:pt idx="4">
                  <c:v>279642.50999999995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9CA-424F-9D5D-A05692929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[tbl_vendas.xlsx]Planilha6!Tabela dinâmica9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Mensal do Faturamento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Planilha6!$B$3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Planilha6!$A$4:$A$40</c:f>
              <c:strCache>
                <c:ptCount val="36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  <c:pt idx="30">
                  <c:v>2025-07</c:v>
                </c:pt>
                <c:pt idx="31">
                  <c:v>2025-08</c:v>
                </c:pt>
                <c:pt idx="32">
                  <c:v>2025-09</c:v>
                </c:pt>
                <c:pt idx="33">
                  <c:v>2025-10</c:v>
                </c:pt>
                <c:pt idx="34">
                  <c:v>2025-11</c:v>
                </c:pt>
                <c:pt idx="35">
                  <c:v>2025-12</c:v>
                </c:pt>
              </c:strCache>
            </c:strRef>
          </c:cat>
          <c:val>
            <c:numRef>
              <c:f>Planilha6!$B$4:$B$40</c:f>
              <c:numCache>
                <c:formatCode>General</c:formatCode>
                <c:ptCount val="36"/>
                <c:pt idx="0">
                  <c:v>36483.960000000014</c:v>
                </c:pt>
                <c:pt idx="1">
                  <c:v>33368.6</c:v>
                </c:pt>
                <c:pt idx="2">
                  <c:v>36073.370000000003</c:v>
                </c:pt>
                <c:pt idx="3">
                  <c:v>39370.31</c:v>
                </c:pt>
                <c:pt idx="4">
                  <c:v>48694.44000000001</c:v>
                </c:pt>
                <c:pt idx="5">
                  <c:v>28323.54</c:v>
                </c:pt>
                <c:pt idx="6">
                  <c:v>29014.03</c:v>
                </c:pt>
                <c:pt idx="7">
                  <c:v>32895.990000000005</c:v>
                </c:pt>
                <c:pt idx="8">
                  <c:v>44356.920000000006</c:v>
                </c:pt>
                <c:pt idx="9">
                  <c:v>36644.58</c:v>
                </c:pt>
                <c:pt idx="10">
                  <c:v>36442.579999999994</c:v>
                </c:pt>
                <c:pt idx="11">
                  <c:v>34909.340000000004</c:v>
                </c:pt>
                <c:pt idx="12">
                  <c:v>35598.380000000005</c:v>
                </c:pt>
                <c:pt idx="13">
                  <c:v>32849.25</c:v>
                </c:pt>
                <c:pt idx="14">
                  <c:v>45622.529999999992</c:v>
                </c:pt>
                <c:pt idx="15">
                  <c:v>35120.559999999998</c:v>
                </c:pt>
                <c:pt idx="16">
                  <c:v>35271.760000000002</c:v>
                </c:pt>
                <c:pt idx="17">
                  <c:v>35025.130000000012</c:v>
                </c:pt>
                <c:pt idx="18">
                  <c:v>39690.99</c:v>
                </c:pt>
                <c:pt idx="19">
                  <c:v>38855.229999999996</c:v>
                </c:pt>
                <c:pt idx="20">
                  <c:v>32488.080000000005</c:v>
                </c:pt>
                <c:pt idx="21">
                  <c:v>36913.560000000005</c:v>
                </c:pt>
                <c:pt idx="22">
                  <c:v>34729.5</c:v>
                </c:pt>
                <c:pt idx="23">
                  <c:v>29563.45</c:v>
                </c:pt>
                <c:pt idx="24">
                  <c:v>33534.03</c:v>
                </c:pt>
                <c:pt idx="25">
                  <c:v>27273.52</c:v>
                </c:pt>
                <c:pt idx="26">
                  <c:v>37605.020000000011</c:v>
                </c:pt>
                <c:pt idx="27">
                  <c:v>38515.950000000004</c:v>
                </c:pt>
                <c:pt idx="28">
                  <c:v>31633.489999999998</c:v>
                </c:pt>
                <c:pt idx="29">
                  <c:v>33553.670000000006</c:v>
                </c:pt>
                <c:pt idx="30">
                  <c:v>36416.120000000003</c:v>
                </c:pt>
                <c:pt idx="31">
                  <c:v>43569.970000000008</c:v>
                </c:pt>
                <c:pt idx="32">
                  <c:v>37939.67</c:v>
                </c:pt>
                <c:pt idx="33">
                  <c:v>35220.78</c:v>
                </c:pt>
                <c:pt idx="34">
                  <c:v>31463.979999999996</c:v>
                </c:pt>
                <c:pt idx="35">
                  <c:v>34427.339999999997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E9-49FB-AB3D-64AC84A8A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7941000"/>
        <c:axId val="1857942024"/>
      </c:lineChart>
      <c:catAx>
        <c:axId val="1857941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942024"/>
        <c:crosses val="autoZero"/>
        <c:auto val="1"/>
        <c:lblAlgn val="ctr"/>
        <c:lblOffset val="100"/>
        <c:noMultiLvlLbl val="0"/>
      </c:catAx>
      <c:valAx>
        <c:axId val="1857942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941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4</xdr:row>
      <xdr:rowOff>180975</xdr:rowOff>
    </xdr:from>
    <xdr:to>
      <xdr:col>10</xdr:col>
      <xdr:colOff>419100</xdr:colOff>
      <xdr:row>19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1BAAB68-FE85-9D83-7341-A4105E369A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4</xdr:row>
      <xdr:rowOff>180975</xdr:rowOff>
    </xdr:from>
    <xdr:to>
      <xdr:col>10</xdr:col>
      <xdr:colOff>419100</xdr:colOff>
      <xdr:row>19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67BC4AA-613C-624D-A3BB-B2EB51EB2B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5</xdr:row>
      <xdr:rowOff>180975</xdr:rowOff>
    </xdr:from>
    <xdr:to>
      <xdr:col>10</xdr:col>
      <xdr:colOff>419100</xdr:colOff>
      <xdr:row>20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01709F1-E646-837F-1408-9100FF9802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3</xdr:row>
      <xdr:rowOff>0</xdr:rowOff>
    </xdr:from>
    <xdr:to>
      <xdr:col>7</xdr:col>
      <xdr:colOff>600075</xdr:colOff>
      <xdr:row>17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4EA7753-BF36-40BC-BE14-37BF80DDD9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142875</xdr:colOff>
      <xdr:row>2</xdr:row>
      <xdr:rowOff>171450</xdr:rowOff>
    </xdr:from>
    <xdr:to>
      <xdr:col>16</xdr:col>
      <xdr:colOff>9525</xdr:colOff>
      <xdr:row>19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167F3F7-7B28-476E-8AEC-57DF72AF123B}"/>
            </a:ext>
            <a:ext uri="{147F2762-F138-4A5C-976F-8EAC2B608ADB}">
              <a16:predDERef xmlns:a16="http://schemas.microsoft.com/office/drawing/2014/main" pred="{84EA7753-BF36-40BC-BE14-37BF80DDD9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371475</xdr:colOff>
      <xdr:row>19</xdr:row>
      <xdr:rowOff>85725</xdr:rowOff>
    </xdr:from>
    <xdr:to>
      <xdr:col>22</xdr:col>
      <xdr:colOff>542925</xdr:colOff>
      <xdr:row>42</xdr:row>
      <xdr:rowOff>9525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42C9AEC-8933-4F73-96E4-C24D3C95F9F3}"/>
            </a:ext>
            <a:ext uri="{147F2762-F138-4A5C-976F-8EAC2B608ADB}">
              <a16:predDERef xmlns:a16="http://schemas.microsoft.com/office/drawing/2014/main" pred="{4167F3F7-7B28-476E-8AEC-57DF72AF12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84.636586342589" createdVersion="8" refreshedVersion="8" minRefreshableVersion="3" recordCount="999" xr:uid="{747B4158-276F-49FF-B8F7-1CAE0CDD424A}">
  <cacheSource type="worksheet">
    <worksheetSource name="Tabela1"/>
  </cacheSource>
  <cacheFields count="11">
    <cacheField name="Data" numFmtId="164">
      <sharedItems containsSemiMixedTypes="0" containsNonDate="0" containsDate="1" containsString="0" minDate="2023-01-01T00:00:00" maxDate="2026-01-01T00:00:00"/>
    </cacheField>
    <cacheField name="Produto" numFmtId="0">
      <sharedItems/>
    </cacheField>
    <cacheField name="Categoria" numFmtId="0">
      <sharedItems count="5">
        <s v="Curso"/>
        <s v="Plano"/>
        <s v="Simulado"/>
        <s v="Mentoria"/>
        <s v="Material"/>
      </sharedItems>
    </cacheField>
    <cacheField name="Vendedor" numFmtId="0">
      <sharedItems/>
    </cacheField>
    <cacheField name="Quantidade" numFmtId="0">
      <sharedItems containsSemiMixedTypes="0" containsString="0" containsNumber="1" containsInteger="1" minValue="1" maxValue="9"/>
    </cacheField>
    <cacheField name="Valor Unitário" numFmtId="0">
      <sharedItems containsSemiMixedTypes="0" containsString="0" containsNumber="1" minValue="20.079999999999998" maxValue="499.88"/>
    </cacheField>
    <cacheField name="Região" numFmtId="0">
      <sharedItems count="5">
        <s v="Centro-Oeste"/>
        <s v="Sul"/>
        <s v="Sudeste"/>
        <s v="Nordeste"/>
        <s v="Norte"/>
      </sharedItems>
    </cacheField>
    <cacheField name="Canal" numFmtId="0">
      <sharedItems/>
    </cacheField>
    <cacheField name="Valor Total" numFmtId="0">
      <sharedItems containsSemiMixedTypes="0" containsString="0" containsNumber="1" minValue="27.5" maxValue="4427.01"/>
    </cacheField>
    <cacheField name="Ticket Médio" numFmtId="0">
      <sharedItems containsSemiMixedTypes="0" containsString="0" containsNumber="1" minValue="20.079999999999998" maxValue="499.88"/>
    </cacheField>
    <cacheField name="Ano--mês" numFmtId="0">
      <sharedItems count="36"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</sharedItems>
    </cacheField>
  </cacheFields>
  <extLst>
    <ext xmlns:x14="http://schemas.microsoft.com/office/spreadsheetml/2009/9/main" uri="{725AE2AE-9491-48be-B2B4-4EB974FC3084}">
      <x14:pivotCacheDefinition pivotCacheId="102057135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d v="2023-01-01T00:00:00"/>
    <s v="Plano Premium"/>
    <x v="0"/>
    <s v="Carla"/>
    <n v="1"/>
    <n v="328.54"/>
    <x v="0"/>
    <s v="Online"/>
    <n v="328.54"/>
    <n v="328.54"/>
    <x v="0"/>
  </r>
  <r>
    <d v="2023-01-02T00:00:00"/>
    <s v="Plano Premium"/>
    <x v="0"/>
    <s v="Carla"/>
    <n v="8"/>
    <n v="237.02"/>
    <x v="1"/>
    <s v="WhatsApp"/>
    <n v="1896.16"/>
    <n v="237.02"/>
    <x v="0"/>
  </r>
  <r>
    <d v="2023-01-04T00:00:00"/>
    <s v="Plano Premium"/>
    <x v="1"/>
    <s v="Diego"/>
    <n v="3"/>
    <n v="317.02"/>
    <x v="2"/>
    <s v="WhatsApp"/>
    <n v="951.06"/>
    <n v="317.02"/>
    <x v="0"/>
  </r>
  <r>
    <d v="2023-01-05T00:00:00"/>
    <s v="Plano Premium"/>
    <x v="2"/>
    <s v="Eduarda"/>
    <n v="6"/>
    <n v="398.12"/>
    <x v="1"/>
    <s v="Loja"/>
    <n v="2388.7199999999998"/>
    <n v="398.11999999999995"/>
    <x v="0"/>
  </r>
  <r>
    <d v="2023-01-06T00:00:00"/>
    <s v="Curso ENEM"/>
    <x v="3"/>
    <s v="Diego"/>
    <n v="1"/>
    <n v="373.83"/>
    <x v="1"/>
    <s v="Loja"/>
    <n v="373.83"/>
    <n v="373.83"/>
    <x v="0"/>
  </r>
  <r>
    <d v="2023-01-07T00:00:00"/>
    <s v="Plano Premium"/>
    <x v="0"/>
    <s v="Carla"/>
    <n v="2"/>
    <n v="213.84"/>
    <x v="2"/>
    <s v="WhatsApp"/>
    <n v="427.68"/>
    <n v="213.84"/>
    <x v="0"/>
  </r>
  <r>
    <d v="2023-01-08T00:00:00"/>
    <s v="Material Revisão"/>
    <x v="1"/>
    <s v="Eduarda"/>
    <n v="5"/>
    <n v="308.47000000000003"/>
    <x v="3"/>
    <s v="WhatsApp"/>
    <n v="1542.35"/>
    <n v="308.46999999999997"/>
    <x v="0"/>
  </r>
  <r>
    <d v="2023-01-09T00:00:00"/>
    <s v="Material Revisão"/>
    <x v="2"/>
    <s v="Ana"/>
    <n v="5"/>
    <n v="455.42"/>
    <x v="0"/>
    <s v="WhatsApp"/>
    <n v="2277.1"/>
    <n v="455.41999999999996"/>
    <x v="0"/>
  </r>
  <r>
    <d v="2023-01-10T00:00:00"/>
    <s v="Curso ENEM"/>
    <x v="2"/>
    <s v="Carla"/>
    <n v="4"/>
    <n v="418.26"/>
    <x v="3"/>
    <s v="Indicação"/>
    <n v="1673.04"/>
    <n v="418.26"/>
    <x v="0"/>
  </r>
  <r>
    <d v="2023-01-11T00:00:00"/>
    <s v="Simulado Pro"/>
    <x v="4"/>
    <s v="Carla"/>
    <n v="6"/>
    <n v="300.13"/>
    <x v="2"/>
    <s v="WhatsApp"/>
    <n v="1800.78"/>
    <n v="300.13"/>
    <x v="0"/>
  </r>
  <r>
    <d v="2023-01-13T00:00:00"/>
    <s v="Simulado Pro"/>
    <x v="4"/>
    <s v="Ana"/>
    <n v="4"/>
    <n v="45.73"/>
    <x v="0"/>
    <s v="Online"/>
    <n v="182.92"/>
    <n v="45.73"/>
    <x v="0"/>
  </r>
  <r>
    <d v="2023-01-14T00:00:00"/>
    <s v="Plano Premium"/>
    <x v="0"/>
    <s v="Carla"/>
    <n v="7"/>
    <n v="492.53"/>
    <x v="1"/>
    <s v="Indicação"/>
    <n v="3447.71"/>
    <n v="492.53000000000003"/>
    <x v="0"/>
  </r>
  <r>
    <d v="2023-01-15T00:00:00"/>
    <s v="Curso ENEM"/>
    <x v="4"/>
    <s v="Eduarda"/>
    <n v="8"/>
    <n v="169.65"/>
    <x v="4"/>
    <s v="Online"/>
    <n v="1357.2"/>
    <n v="169.65"/>
    <x v="0"/>
  </r>
  <r>
    <d v="2023-01-16T00:00:00"/>
    <s v="Simulado Pro"/>
    <x v="2"/>
    <s v="Bruno"/>
    <n v="6"/>
    <n v="133.22999999999999"/>
    <x v="0"/>
    <s v="Online"/>
    <n v="799.37999999999988"/>
    <n v="133.22999999999999"/>
    <x v="0"/>
  </r>
  <r>
    <d v="2023-01-17T00:00:00"/>
    <s v="Material Revisão"/>
    <x v="3"/>
    <s v="Carla"/>
    <n v="8"/>
    <n v="439.34"/>
    <x v="3"/>
    <s v="Loja"/>
    <n v="3514.72"/>
    <n v="439.34"/>
    <x v="0"/>
  </r>
  <r>
    <d v="2023-01-18T00:00:00"/>
    <s v="Simulado Pro"/>
    <x v="3"/>
    <s v="Diego"/>
    <n v="8"/>
    <n v="186.03"/>
    <x v="0"/>
    <s v="Online"/>
    <n v="1488.24"/>
    <n v="186.03"/>
    <x v="0"/>
  </r>
  <r>
    <d v="2023-01-19T00:00:00"/>
    <s v="Plano Premium"/>
    <x v="0"/>
    <s v="Bruno"/>
    <n v="9"/>
    <n v="269.61"/>
    <x v="2"/>
    <s v="WhatsApp"/>
    <n v="2426.4899999999998"/>
    <n v="269.60999999999996"/>
    <x v="0"/>
  </r>
  <r>
    <d v="2023-01-20T00:00:00"/>
    <s v="Curso ENEM"/>
    <x v="1"/>
    <s v="Ana"/>
    <n v="3"/>
    <n v="63.02"/>
    <x v="3"/>
    <s v="Indicação"/>
    <n v="189.06"/>
    <n v="63.02"/>
    <x v="0"/>
  </r>
  <r>
    <d v="2023-01-21T00:00:00"/>
    <s v="Mentoria ENEM"/>
    <x v="4"/>
    <s v="Ana"/>
    <n v="8"/>
    <n v="121.51"/>
    <x v="2"/>
    <s v="Loja"/>
    <n v="972.08"/>
    <n v="121.51"/>
    <x v="0"/>
  </r>
  <r>
    <d v="2023-01-22T00:00:00"/>
    <s v="Plano Premium"/>
    <x v="0"/>
    <s v="Ana"/>
    <n v="4"/>
    <n v="106.5"/>
    <x v="1"/>
    <s v="Online"/>
    <n v="426"/>
    <n v="106.5"/>
    <x v="0"/>
  </r>
  <r>
    <d v="2023-01-24T00:00:00"/>
    <s v="Plano Premium"/>
    <x v="4"/>
    <s v="Eduarda"/>
    <n v="7"/>
    <n v="213.01"/>
    <x v="3"/>
    <s v="Indicação"/>
    <n v="1491.07"/>
    <n v="213.01"/>
    <x v="0"/>
  </r>
  <r>
    <d v="2023-01-25T00:00:00"/>
    <s v="Curso ENEM"/>
    <x v="1"/>
    <s v="Carla"/>
    <n v="1"/>
    <n v="210.43"/>
    <x v="4"/>
    <s v="WhatsApp"/>
    <n v="210.43"/>
    <n v="210.43"/>
    <x v="0"/>
  </r>
  <r>
    <d v="2023-01-26T00:00:00"/>
    <s v="Plano Premium"/>
    <x v="2"/>
    <s v="Carla"/>
    <n v="3"/>
    <n v="434.49"/>
    <x v="4"/>
    <s v="Indicação"/>
    <n v="1303.47"/>
    <n v="434.49"/>
    <x v="0"/>
  </r>
  <r>
    <d v="2023-01-27T00:00:00"/>
    <s v="Curso ENEM"/>
    <x v="0"/>
    <s v="Bruno"/>
    <n v="6"/>
    <n v="376.08"/>
    <x v="1"/>
    <s v="Indicação"/>
    <n v="2256.48"/>
    <n v="376.08"/>
    <x v="0"/>
  </r>
  <r>
    <d v="2023-01-28T00:00:00"/>
    <s v="Simulado Pro"/>
    <x v="0"/>
    <s v="Carla"/>
    <n v="7"/>
    <n v="55.99"/>
    <x v="1"/>
    <s v="Indicação"/>
    <n v="391.93"/>
    <n v="55.99"/>
    <x v="0"/>
  </r>
  <r>
    <d v="2023-01-29T00:00:00"/>
    <s v="Plano Premium"/>
    <x v="1"/>
    <s v="Eduarda"/>
    <n v="9"/>
    <n v="116.12"/>
    <x v="1"/>
    <s v="WhatsApp"/>
    <n v="1045.08"/>
    <n v="116.11999999999999"/>
    <x v="0"/>
  </r>
  <r>
    <d v="2023-01-30T00:00:00"/>
    <s v="Plano Premium"/>
    <x v="2"/>
    <s v="Bruno"/>
    <n v="4"/>
    <n v="20.079999999999998"/>
    <x v="3"/>
    <s v="Online"/>
    <n v="80.319999999999993"/>
    <n v="20.079999999999998"/>
    <x v="0"/>
  </r>
  <r>
    <d v="2023-01-31T00:00:00"/>
    <s v="Mentoria ENEM"/>
    <x v="3"/>
    <s v="Diego"/>
    <n v="3"/>
    <n v="414.04"/>
    <x v="4"/>
    <s v="Indicação"/>
    <n v="1242.1199999999999"/>
    <n v="414.03999999999996"/>
    <x v="0"/>
  </r>
  <r>
    <d v="2023-02-01T00:00:00"/>
    <s v="Simulado Pro"/>
    <x v="2"/>
    <s v="Carla"/>
    <n v="2"/>
    <n v="124.29"/>
    <x v="1"/>
    <s v="Online"/>
    <n v="248.58"/>
    <n v="124.29"/>
    <x v="1"/>
  </r>
  <r>
    <d v="2023-02-02T00:00:00"/>
    <s v="Plano Premium"/>
    <x v="1"/>
    <s v="Diego"/>
    <n v="6"/>
    <n v="134.9"/>
    <x v="1"/>
    <s v="WhatsApp"/>
    <n v="809.40000000000009"/>
    <n v="134.9"/>
    <x v="1"/>
  </r>
  <r>
    <d v="2023-02-03T00:00:00"/>
    <s v="Material Revisão"/>
    <x v="1"/>
    <s v="Diego"/>
    <n v="1"/>
    <n v="456.03"/>
    <x v="3"/>
    <s v="Online"/>
    <n v="456.03"/>
    <n v="456.03"/>
    <x v="1"/>
  </r>
  <r>
    <d v="2023-02-05T00:00:00"/>
    <s v="Plano Premium"/>
    <x v="2"/>
    <s v="Bruno"/>
    <n v="8"/>
    <n v="22.59"/>
    <x v="1"/>
    <s v="Loja"/>
    <n v="180.72"/>
    <n v="22.59"/>
    <x v="1"/>
  </r>
  <r>
    <d v="2023-02-06T00:00:00"/>
    <s v="Material Revisão"/>
    <x v="1"/>
    <s v="Carla"/>
    <n v="2"/>
    <n v="219.92"/>
    <x v="0"/>
    <s v="WhatsApp"/>
    <n v="439.84"/>
    <n v="219.92"/>
    <x v="1"/>
  </r>
  <r>
    <d v="2023-02-07T00:00:00"/>
    <s v="Material Revisão"/>
    <x v="2"/>
    <s v="Diego"/>
    <n v="7"/>
    <n v="198.44"/>
    <x v="0"/>
    <s v="Online"/>
    <n v="1389.08"/>
    <n v="198.44"/>
    <x v="1"/>
  </r>
  <r>
    <d v="2023-02-08T00:00:00"/>
    <s v="Simulado Pro"/>
    <x v="1"/>
    <s v="Carla"/>
    <n v="7"/>
    <n v="147.94999999999999"/>
    <x v="0"/>
    <s v="Indicação"/>
    <n v="1035.6500000000001"/>
    <n v="147.95000000000002"/>
    <x v="1"/>
  </r>
  <r>
    <d v="2023-02-09T00:00:00"/>
    <s v="Plano Premium"/>
    <x v="2"/>
    <s v="Bruno"/>
    <n v="7"/>
    <n v="219.22"/>
    <x v="0"/>
    <s v="WhatsApp"/>
    <n v="1534.54"/>
    <n v="219.22"/>
    <x v="1"/>
  </r>
  <r>
    <d v="2023-02-10T00:00:00"/>
    <s v="Simulado Pro"/>
    <x v="4"/>
    <s v="Carla"/>
    <n v="7"/>
    <n v="382.5"/>
    <x v="0"/>
    <s v="Online"/>
    <n v="2677.5"/>
    <n v="382.5"/>
    <x v="1"/>
  </r>
  <r>
    <d v="2023-02-11T00:00:00"/>
    <s v="Mentoria ENEM"/>
    <x v="4"/>
    <s v="Ana"/>
    <n v="7"/>
    <n v="449.24"/>
    <x v="3"/>
    <s v="Indicação"/>
    <n v="3144.68"/>
    <n v="449.23999999999995"/>
    <x v="1"/>
  </r>
  <r>
    <d v="2023-02-12T00:00:00"/>
    <s v="Mentoria ENEM"/>
    <x v="0"/>
    <s v="Ana"/>
    <n v="8"/>
    <n v="20.2"/>
    <x v="4"/>
    <s v="Loja"/>
    <n v="161.6"/>
    <n v="20.2"/>
    <x v="1"/>
  </r>
  <r>
    <d v="2023-02-13T00:00:00"/>
    <s v="Mentoria ENEM"/>
    <x v="2"/>
    <s v="Eduarda"/>
    <n v="6"/>
    <n v="460"/>
    <x v="1"/>
    <s v="Online"/>
    <n v="2760"/>
    <n v="460"/>
    <x v="1"/>
  </r>
  <r>
    <d v="2023-02-14T00:00:00"/>
    <s v="Material Revisão"/>
    <x v="0"/>
    <s v="Bruno"/>
    <n v="4"/>
    <n v="370.5"/>
    <x v="4"/>
    <s v="WhatsApp"/>
    <n v="1482"/>
    <n v="370.5"/>
    <x v="1"/>
  </r>
  <r>
    <d v="2023-02-16T00:00:00"/>
    <s v="Curso ENEM"/>
    <x v="2"/>
    <s v="Carla"/>
    <n v="5"/>
    <n v="417.82"/>
    <x v="0"/>
    <s v="Indicação"/>
    <n v="2089.1"/>
    <n v="417.82"/>
    <x v="1"/>
  </r>
  <r>
    <d v="2023-02-17T00:00:00"/>
    <s v="Curso ENEM"/>
    <x v="2"/>
    <s v="Eduarda"/>
    <n v="1"/>
    <n v="157.6"/>
    <x v="0"/>
    <s v="Loja"/>
    <n v="157.6"/>
    <n v="157.6"/>
    <x v="1"/>
  </r>
  <r>
    <d v="2023-02-18T00:00:00"/>
    <s v="Mentoria ENEM"/>
    <x v="2"/>
    <s v="Bruno"/>
    <n v="7"/>
    <n v="477.51"/>
    <x v="2"/>
    <s v="Online"/>
    <n v="3342.57"/>
    <n v="477.51000000000005"/>
    <x v="1"/>
  </r>
  <r>
    <d v="2023-02-19T00:00:00"/>
    <s v="Material Revisão"/>
    <x v="2"/>
    <s v="Diego"/>
    <n v="1"/>
    <n v="419.85"/>
    <x v="3"/>
    <s v="Online"/>
    <n v="419.85"/>
    <n v="419.85"/>
    <x v="1"/>
  </r>
  <r>
    <d v="2023-02-20T00:00:00"/>
    <s v="Simulado Pro"/>
    <x v="1"/>
    <s v="Diego"/>
    <n v="5"/>
    <n v="208.92"/>
    <x v="0"/>
    <s v="Indicação"/>
    <n v="1044.5999999999999"/>
    <n v="208.92"/>
    <x v="1"/>
  </r>
  <r>
    <d v="2023-02-21T00:00:00"/>
    <s v="Mentoria ENEM"/>
    <x v="4"/>
    <s v="Bruno"/>
    <n v="4"/>
    <n v="344.02"/>
    <x v="0"/>
    <s v="Online"/>
    <n v="1376.08"/>
    <n v="344.02"/>
    <x v="1"/>
  </r>
  <r>
    <d v="2023-02-22T00:00:00"/>
    <s v="Material Revisão"/>
    <x v="2"/>
    <s v="Bruno"/>
    <n v="3"/>
    <n v="171.35"/>
    <x v="0"/>
    <s v="WhatsApp"/>
    <n v="514.04999999999995"/>
    <n v="171.35"/>
    <x v="1"/>
  </r>
  <r>
    <d v="2023-02-23T00:00:00"/>
    <s v="Mentoria ENEM"/>
    <x v="0"/>
    <s v="Ana"/>
    <n v="7"/>
    <n v="343.56"/>
    <x v="4"/>
    <s v="Indicação"/>
    <n v="2404.92"/>
    <n v="343.56"/>
    <x v="1"/>
  </r>
  <r>
    <d v="2023-02-24T00:00:00"/>
    <s v="Simulado Pro"/>
    <x v="3"/>
    <s v="Ana"/>
    <n v="3"/>
    <n v="472.49"/>
    <x v="0"/>
    <s v="WhatsApp"/>
    <n v="1417.47"/>
    <n v="472.49"/>
    <x v="1"/>
  </r>
  <r>
    <d v="2023-02-25T00:00:00"/>
    <s v="Plano Premium"/>
    <x v="2"/>
    <s v="Ana"/>
    <n v="8"/>
    <n v="83.2"/>
    <x v="1"/>
    <s v="Online"/>
    <n v="665.6"/>
    <n v="83.2"/>
    <x v="1"/>
  </r>
  <r>
    <d v="2023-02-26T00:00:00"/>
    <s v="Curso ENEM"/>
    <x v="1"/>
    <s v="Diego"/>
    <n v="4"/>
    <n v="81.96"/>
    <x v="2"/>
    <s v="Indicação"/>
    <n v="327.84"/>
    <n v="81.96"/>
    <x v="1"/>
  </r>
  <r>
    <d v="2023-02-28T00:00:00"/>
    <s v="Curso ENEM"/>
    <x v="3"/>
    <s v="Carla"/>
    <n v="7"/>
    <n v="469.9"/>
    <x v="2"/>
    <s v="Loja"/>
    <n v="3289.3"/>
    <n v="469.90000000000003"/>
    <x v="1"/>
  </r>
  <r>
    <d v="2023-03-01T00:00:00"/>
    <s v="Curso ENEM"/>
    <x v="1"/>
    <s v="Carla"/>
    <n v="7"/>
    <n v="480.18"/>
    <x v="1"/>
    <s v="Online"/>
    <n v="3361.26"/>
    <n v="480.18"/>
    <x v="2"/>
  </r>
  <r>
    <d v="2023-03-02T00:00:00"/>
    <s v="Mentoria ENEM"/>
    <x v="0"/>
    <s v="Bruno"/>
    <n v="1"/>
    <n v="435.09"/>
    <x v="0"/>
    <s v="Loja"/>
    <n v="435.09"/>
    <n v="435.09"/>
    <x v="2"/>
  </r>
  <r>
    <d v="2023-03-03T00:00:00"/>
    <s v="Plano Premium"/>
    <x v="0"/>
    <s v="Bruno"/>
    <n v="8"/>
    <n v="453.49"/>
    <x v="4"/>
    <s v="Indicação"/>
    <n v="3627.92"/>
    <n v="453.49"/>
    <x v="2"/>
  </r>
  <r>
    <d v="2023-03-04T00:00:00"/>
    <s v="Simulado Pro"/>
    <x v="0"/>
    <s v="Carla"/>
    <n v="1"/>
    <n v="357.03"/>
    <x v="2"/>
    <s v="WhatsApp"/>
    <n v="357.03"/>
    <n v="357.03"/>
    <x v="2"/>
  </r>
  <r>
    <d v="2023-03-05T00:00:00"/>
    <s v="Mentoria ENEM"/>
    <x v="1"/>
    <s v="Eduarda"/>
    <n v="8"/>
    <n v="310.44"/>
    <x v="4"/>
    <s v="Loja"/>
    <n v="2483.52"/>
    <n v="310.44"/>
    <x v="2"/>
  </r>
  <r>
    <d v="2023-03-06T00:00:00"/>
    <s v="Material Revisão"/>
    <x v="0"/>
    <s v="Bruno"/>
    <n v="4"/>
    <n v="266.10000000000002"/>
    <x v="1"/>
    <s v="Loja"/>
    <n v="1064.4000000000001"/>
    <n v="266.10000000000002"/>
    <x v="2"/>
  </r>
  <r>
    <d v="2023-03-07T00:00:00"/>
    <s v="Plano Premium"/>
    <x v="4"/>
    <s v="Bruno"/>
    <n v="3"/>
    <n v="186.67"/>
    <x v="3"/>
    <s v="Indicação"/>
    <n v="560.01"/>
    <n v="186.67"/>
    <x v="2"/>
  </r>
  <r>
    <d v="2023-03-08T00:00:00"/>
    <s v="Simulado Pro"/>
    <x v="0"/>
    <s v="Diego"/>
    <n v="8"/>
    <n v="459.15"/>
    <x v="4"/>
    <s v="Loja"/>
    <n v="3673.2"/>
    <n v="459.15"/>
    <x v="2"/>
  </r>
  <r>
    <d v="2023-03-09T00:00:00"/>
    <s v="Simulado Pro"/>
    <x v="3"/>
    <s v="Bruno"/>
    <n v="3"/>
    <n v="70"/>
    <x v="1"/>
    <s v="Indicação"/>
    <n v="210"/>
    <n v="70"/>
    <x v="2"/>
  </r>
  <r>
    <d v="2023-03-11T00:00:00"/>
    <s v="Curso ENEM"/>
    <x v="2"/>
    <s v="Eduarda"/>
    <n v="2"/>
    <n v="301"/>
    <x v="3"/>
    <s v="Indicação"/>
    <n v="602"/>
    <n v="301"/>
    <x v="2"/>
  </r>
  <r>
    <d v="2023-03-12T00:00:00"/>
    <s v="Plano Premium"/>
    <x v="2"/>
    <s v="Ana"/>
    <n v="2"/>
    <n v="342.85"/>
    <x v="3"/>
    <s v="WhatsApp"/>
    <n v="685.7"/>
    <n v="342.85"/>
    <x v="2"/>
  </r>
  <r>
    <d v="2023-03-13T00:00:00"/>
    <s v="Simulado Pro"/>
    <x v="2"/>
    <s v="Carla"/>
    <n v="9"/>
    <n v="349.32"/>
    <x v="2"/>
    <s v="Online"/>
    <n v="3143.88"/>
    <n v="349.32"/>
    <x v="2"/>
  </r>
  <r>
    <d v="2023-03-14T00:00:00"/>
    <s v="Mentoria ENEM"/>
    <x v="2"/>
    <s v="Diego"/>
    <n v="7"/>
    <n v="197.17"/>
    <x v="3"/>
    <s v="WhatsApp"/>
    <n v="1380.19"/>
    <n v="197.17000000000002"/>
    <x v="2"/>
  </r>
  <r>
    <d v="2023-03-15T00:00:00"/>
    <s v="Plano Premium"/>
    <x v="3"/>
    <s v="Ana"/>
    <n v="7"/>
    <n v="101"/>
    <x v="4"/>
    <s v="Indicação"/>
    <n v="707"/>
    <n v="101"/>
    <x v="2"/>
  </r>
  <r>
    <d v="2023-03-16T00:00:00"/>
    <s v="Material Revisão"/>
    <x v="3"/>
    <s v="Eduarda"/>
    <n v="3"/>
    <n v="96.35"/>
    <x v="1"/>
    <s v="Indicação"/>
    <n v="289.05"/>
    <n v="96.350000000000009"/>
    <x v="2"/>
  </r>
  <r>
    <d v="2023-03-17T00:00:00"/>
    <s v="Material Revisão"/>
    <x v="3"/>
    <s v="Eduarda"/>
    <n v="7"/>
    <n v="166.58"/>
    <x v="0"/>
    <s v="Online"/>
    <n v="1166.06"/>
    <n v="166.57999999999998"/>
    <x v="2"/>
  </r>
  <r>
    <d v="2023-03-18T00:00:00"/>
    <s v="Simulado Pro"/>
    <x v="1"/>
    <s v="Ana"/>
    <n v="6"/>
    <n v="351.77"/>
    <x v="0"/>
    <s v="WhatsApp"/>
    <n v="2110.62"/>
    <n v="351.77"/>
    <x v="2"/>
  </r>
  <r>
    <d v="2023-03-19T00:00:00"/>
    <s v="Simulado Pro"/>
    <x v="3"/>
    <s v="Eduarda"/>
    <n v="7"/>
    <n v="122.7"/>
    <x v="1"/>
    <s v="Online"/>
    <n v="858.9"/>
    <n v="122.7"/>
    <x v="2"/>
  </r>
  <r>
    <d v="2023-03-20T00:00:00"/>
    <s v="Material Revisão"/>
    <x v="4"/>
    <s v="Diego"/>
    <n v="5"/>
    <n v="331.65"/>
    <x v="4"/>
    <s v="Indicação"/>
    <n v="1658.25"/>
    <n v="331.65"/>
    <x v="2"/>
  </r>
  <r>
    <d v="2023-03-22T00:00:00"/>
    <s v="Plano Premium"/>
    <x v="2"/>
    <s v="Bruno"/>
    <n v="5"/>
    <n v="150.87"/>
    <x v="2"/>
    <s v="Loja"/>
    <n v="754.35"/>
    <n v="150.87"/>
    <x v="2"/>
  </r>
  <r>
    <d v="2023-03-23T00:00:00"/>
    <s v="Curso ENEM"/>
    <x v="4"/>
    <s v="Carla"/>
    <n v="1"/>
    <n v="147.56"/>
    <x v="2"/>
    <s v="Online"/>
    <n v="147.56"/>
    <n v="147.56"/>
    <x v="2"/>
  </r>
  <r>
    <d v="2023-03-24T00:00:00"/>
    <s v="Plano Premium"/>
    <x v="3"/>
    <s v="Ana"/>
    <n v="2"/>
    <n v="26.22"/>
    <x v="0"/>
    <s v="Online"/>
    <n v="52.44"/>
    <n v="26.22"/>
    <x v="2"/>
  </r>
  <r>
    <d v="2023-03-25T00:00:00"/>
    <s v="Curso ENEM"/>
    <x v="4"/>
    <s v="Ana"/>
    <n v="6"/>
    <n v="276.89"/>
    <x v="4"/>
    <s v="Loja"/>
    <n v="1661.34"/>
    <n v="276.89"/>
    <x v="2"/>
  </r>
  <r>
    <d v="2023-03-26T00:00:00"/>
    <s v="Mentoria ENEM"/>
    <x v="4"/>
    <s v="Ana"/>
    <n v="2"/>
    <n v="260.61"/>
    <x v="3"/>
    <s v="Loja"/>
    <n v="521.22"/>
    <n v="260.61"/>
    <x v="2"/>
  </r>
  <r>
    <d v="2023-03-27T00:00:00"/>
    <s v="Simulado Pro"/>
    <x v="0"/>
    <s v="Ana"/>
    <n v="1"/>
    <n v="248.39"/>
    <x v="3"/>
    <s v="Indicação"/>
    <n v="248.39"/>
    <n v="248.39"/>
    <x v="2"/>
  </r>
  <r>
    <d v="2023-03-28T00:00:00"/>
    <s v="Material Revisão"/>
    <x v="1"/>
    <s v="Diego"/>
    <n v="2"/>
    <n v="298.54000000000002"/>
    <x v="3"/>
    <s v="Indicação"/>
    <n v="597.08000000000004"/>
    <n v="298.54000000000002"/>
    <x v="2"/>
  </r>
  <r>
    <d v="2023-03-29T00:00:00"/>
    <s v="Plano Premium"/>
    <x v="0"/>
    <s v="Ana"/>
    <n v="3"/>
    <n v="243.93"/>
    <x v="1"/>
    <s v="Loja"/>
    <n v="731.79"/>
    <n v="243.92999999999998"/>
    <x v="2"/>
  </r>
  <r>
    <d v="2023-03-30T00:00:00"/>
    <s v="Curso ENEM"/>
    <x v="3"/>
    <s v="Bruno"/>
    <n v="6"/>
    <n v="440.8"/>
    <x v="0"/>
    <s v="WhatsApp"/>
    <n v="2644.8"/>
    <n v="440.8"/>
    <x v="2"/>
  </r>
  <r>
    <d v="2023-03-31T00:00:00"/>
    <s v="Mentoria ENEM"/>
    <x v="0"/>
    <s v="Ana"/>
    <n v="8"/>
    <n v="42.54"/>
    <x v="2"/>
    <s v="Loja"/>
    <n v="340.32"/>
    <n v="42.54"/>
    <x v="2"/>
  </r>
  <r>
    <d v="2023-04-01T00:00:00"/>
    <s v="Simulado Pro"/>
    <x v="3"/>
    <s v="Eduarda"/>
    <n v="2"/>
    <n v="38.090000000000003"/>
    <x v="2"/>
    <s v="Loja"/>
    <n v="76.180000000000007"/>
    <n v="38.090000000000003"/>
    <x v="3"/>
  </r>
  <r>
    <d v="2023-04-03T00:00:00"/>
    <s v="Curso ENEM"/>
    <x v="3"/>
    <s v="Carla"/>
    <n v="5"/>
    <n v="343.96"/>
    <x v="2"/>
    <s v="Online"/>
    <n v="1719.8"/>
    <n v="343.96"/>
    <x v="3"/>
  </r>
  <r>
    <d v="2023-04-04T00:00:00"/>
    <s v="Plano Premium"/>
    <x v="2"/>
    <s v="Diego"/>
    <n v="9"/>
    <n v="308.37"/>
    <x v="1"/>
    <s v="Online"/>
    <n v="2775.33"/>
    <n v="308.37"/>
    <x v="3"/>
  </r>
  <r>
    <d v="2023-04-05T00:00:00"/>
    <s v="Curso ENEM"/>
    <x v="1"/>
    <s v="Ana"/>
    <n v="3"/>
    <n v="331.1"/>
    <x v="1"/>
    <s v="WhatsApp"/>
    <n v="993.30000000000007"/>
    <n v="331.1"/>
    <x v="3"/>
  </r>
  <r>
    <d v="2023-04-06T00:00:00"/>
    <s v="Curso ENEM"/>
    <x v="1"/>
    <s v="Carla"/>
    <n v="8"/>
    <n v="135.25"/>
    <x v="0"/>
    <s v="Online"/>
    <n v="1082"/>
    <n v="135.25"/>
    <x v="3"/>
  </r>
  <r>
    <d v="2023-04-07T00:00:00"/>
    <s v="Simulado Pro"/>
    <x v="2"/>
    <s v="Diego"/>
    <n v="8"/>
    <n v="249.92"/>
    <x v="1"/>
    <s v="Online"/>
    <n v="1999.36"/>
    <n v="249.92"/>
    <x v="3"/>
  </r>
  <r>
    <d v="2023-04-08T00:00:00"/>
    <s v="Simulado Pro"/>
    <x v="0"/>
    <s v="Diego"/>
    <n v="4"/>
    <n v="400.48"/>
    <x v="4"/>
    <s v="Loja"/>
    <n v="1601.92"/>
    <n v="400.48"/>
    <x v="3"/>
  </r>
  <r>
    <d v="2023-04-09T00:00:00"/>
    <s v="Simulado Pro"/>
    <x v="2"/>
    <s v="Ana"/>
    <n v="5"/>
    <n v="321.31"/>
    <x v="4"/>
    <s v="Online"/>
    <n v="1606.55"/>
    <n v="321.31"/>
    <x v="3"/>
  </r>
  <r>
    <d v="2023-04-10T00:00:00"/>
    <s v="Mentoria ENEM"/>
    <x v="3"/>
    <s v="Carla"/>
    <n v="8"/>
    <n v="77.28"/>
    <x v="2"/>
    <s v="WhatsApp"/>
    <n v="618.24"/>
    <n v="77.28"/>
    <x v="3"/>
  </r>
  <r>
    <d v="2023-04-11T00:00:00"/>
    <s v="Simulado Pro"/>
    <x v="1"/>
    <s v="Bruno"/>
    <n v="1"/>
    <n v="82.57"/>
    <x v="0"/>
    <s v="Indicação"/>
    <n v="82.57"/>
    <n v="82.57"/>
    <x v="3"/>
  </r>
  <r>
    <d v="2023-04-12T00:00:00"/>
    <s v="Mentoria ENEM"/>
    <x v="0"/>
    <s v="Carla"/>
    <n v="3"/>
    <n v="228.11"/>
    <x v="0"/>
    <s v="Loja"/>
    <n v="684.33"/>
    <n v="228.11"/>
    <x v="3"/>
  </r>
  <r>
    <d v="2023-04-14T00:00:00"/>
    <s v="Plano Premium"/>
    <x v="0"/>
    <s v="Eduarda"/>
    <n v="3"/>
    <n v="133.28"/>
    <x v="0"/>
    <s v="Online"/>
    <n v="399.84"/>
    <n v="133.28"/>
    <x v="3"/>
  </r>
  <r>
    <d v="2023-04-15T00:00:00"/>
    <s v="Mentoria ENEM"/>
    <x v="1"/>
    <s v="Ana"/>
    <n v="2"/>
    <n v="319.81"/>
    <x v="4"/>
    <s v="Indicação"/>
    <n v="639.62"/>
    <n v="319.81"/>
    <x v="3"/>
  </r>
  <r>
    <d v="2023-04-16T00:00:00"/>
    <s v="Simulado Pro"/>
    <x v="4"/>
    <s v="Carla"/>
    <n v="3"/>
    <n v="115.24"/>
    <x v="0"/>
    <s v="Online"/>
    <n v="345.72"/>
    <n v="115.24000000000001"/>
    <x v="3"/>
  </r>
  <r>
    <d v="2023-04-17T00:00:00"/>
    <s v="Plano Premium"/>
    <x v="3"/>
    <s v="Diego"/>
    <n v="3"/>
    <n v="384.93"/>
    <x v="1"/>
    <s v="WhatsApp"/>
    <n v="1154.79"/>
    <n v="384.93"/>
    <x v="3"/>
  </r>
  <r>
    <d v="2023-04-18T00:00:00"/>
    <s v="Material Revisão"/>
    <x v="3"/>
    <s v="Bruno"/>
    <n v="8"/>
    <n v="321.95"/>
    <x v="3"/>
    <s v="Online"/>
    <n v="2575.6"/>
    <n v="321.95"/>
    <x v="3"/>
  </r>
  <r>
    <d v="2023-04-19T00:00:00"/>
    <s v="Material Revisão"/>
    <x v="3"/>
    <s v="Carla"/>
    <n v="5"/>
    <n v="259.45"/>
    <x v="0"/>
    <s v="Online"/>
    <n v="1297.25"/>
    <n v="259.45"/>
    <x v="3"/>
  </r>
  <r>
    <d v="2023-04-20T00:00:00"/>
    <s v="Material Revisão"/>
    <x v="0"/>
    <s v="Carla"/>
    <n v="1"/>
    <n v="458.48"/>
    <x v="1"/>
    <s v="WhatsApp"/>
    <n v="458.48"/>
    <n v="458.48"/>
    <x v="3"/>
  </r>
  <r>
    <d v="2023-04-21T00:00:00"/>
    <s v="Material Revisão"/>
    <x v="0"/>
    <s v="Bruno"/>
    <n v="5"/>
    <n v="465.8"/>
    <x v="3"/>
    <s v="Indicação"/>
    <n v="2329"/>
    <n v="465.8"/>
    <x v="3"/>
  </r>
  <r>
    <d v="2023-04-22T00:00:00"/>
    <s v="Curso ENEM"/>
    <x v="1"/>
    <s v="Diego"/>
    <n v="4"/>
    <n v="387.11"/>
    <x v="4"/>
    <s v="Indicação"/>
    <n v="1548.44"/>
    <n v="387.11"/>
    <x v="3"/>
  </r>
  <r>
    <d v="2023-04-23T00:00:00"/>
    <s v="Curso ENEM"/>
    <x v="1"/>
    <s v="Carla"/>
    <n v="5"/>
    <n v="476.64"/>
    <x v="3"/>
    <s v="WhatsApp"/>
    <n v="2383.1999999999998"/>
    <n v="476.64"/>
    <x v="3"/>
  </r>
  <r>
    <d v="2023-04-24T00:00:00"/>
    <s v="Material Revisão"/>
    <x v="4"/>
    <s v="Bruno"/>
    <n v="9"/>
    <n v="400.18"/>
    <x v="1"/>
    <s v="Loja"/>
    <n v="3601.62"/>
    <n v="400.18"/>
    <x v="3"/>
  </r>
  <r>
    <d v="2023-04-26T00:00:00"/>
    <s v="Material Revisão"/>
    <x v="0"/>
    <s v="Eduarda"/>
    <n v="7"/>
    <n v="393.64"/>
    <x v="1"/>
    <s v="Online"/>
    <n v="2755.48"/>
    <n v="393.64"/>
    <x v="3"/>
  </r>
  <r>
    <d v="2023-04-27T00:00:00"/>
    <s v="Simulado Pro"/>
    <x v="3"/>
    <s v="Ana"/>
    <n v="8"/>
    <n v="466.68"/>
    <x v="2"/>
    <s v="Loja"/>
    <n v="3733.44"/>
    <n v="466.68"/>
    <x v="3"/>
  </r>
  <r>
    <d v="2023-04-28T00:00:00"/>
    <s v="Simulado Pro"/>
    <x v="4"/>
    <s v="Eduarda"/>
    <n v="3"/>
    <n v="390.23"/>
    <x v="2"/>
    <s v="WhatsApp"/>
    <n v="1170.69"/>
    <n v="390.23"/>
    <x v="3"/>
  </r>
  <r>
    <d v="2023-04-29T00:00:00"/>
    <s v="Plano Premium"/>
    <x v="0"/>
    <s v="Carla"/>
    <n v="5"/>
    <n v="241.4"/>
    <x v="4"/>
    <s v="WhatsApp"/>
    <n v="1207"/>
    <n v="241.4"/>
    <x v="3"/>
  </r>
  <r>
    <d v="2023-04-30T00:00:00"/>
    <s v="Curso ENEM"/>
    <x v="4"/>
    <s v="Carla"/>
    <n v="8"/>
    <n v="66.319999999999993"/>
    <x v="1"/>
    <s v="WhatsApp"/>
    <n v="530.55999999999995"/>
    <n v="66.319999999999993"/>
    <x v="3"/>
  </r>
  <r>
    <d v="2023-05-01T00:00:00"/>
    <s v="Plano Premium"/>
    <x v="1"/>
    <s v="Diego"/>
    <n v="6"/>
    <n v="293.56"/>
    <x v="3"/>
    <s v="WhatsApp"/>
    <n v="1761.36"/>
    <n v="293.56"/>
    <x v="4"/>
  </r>
  <r>
    <d v="2023-05-02T00:00:00"/>
    <s v="Material Revisão"/>
    <x v="3"/>
    <s v="Carla"/>
    <n v="1"/>
    <n v="188.64"/>
    <x v="0"/>
    <s v="Online"/>
    <n v="188.64"/>
    <n v="188.64"/>
    <x v="4"/>
  </r>
  <r>
    <d v="2023-05-03T00:00:00"/>
    <s v="Material Revisão"/>
    <x v="2"/>
    <s v="Bruno"/>
    <n v="4"/>
    <n v="24.99"/>
    <x v="2"/>
    <s v="Indicação"/>
    <n v="99.96"/>
    <n v="24.99"/>
    <x v="4"/>
  </r>
  <r>
    <d v="2023-05-04T00:00:00"/>
    <s v="Mentoria ENEM"/>
    <x v="1"/>
    <s v="Diego"/>
    <n v="8"/>
    <n v="418.66"/>
    <x v="1"/>
    <s v="Loja"/>
    <n v="3349.28"/>
    <n v="418.66"/>
    <x v="4"/>
  </r>
  <r>
    <d v="2023-05-05T00:00:00"/>
    <s v="Material Revisão"/>
    <x v="3"/>
    <s v="Ana"/>
    <n v="6"/>
    <n v="163.78"/>
    <x v="1"/>
    <s v="WhatsApp"/>
    <n v="982.68000000000006"/>
    <n v="163.78"/>
    <x v="4"/>
  </r>
  <r>
    <d v="2023-05-07T00:00:00"/>
    <s v="Plano Premium"/>
    <x v="4"/>
    <s v="Eduarda"/>
    <n v="7"/>
    <n v="40.25"/>
    <x v="4"/>
    <s v="WhatsApp"/>
    <n v="281.75"/>
    <n v="40.25"/>
    <x v="4"/>
  </r>
  <r>
    <d v="2023-05-08T00:00:00"/>
    <s v="Mentoria ENEM"/>
    <x v="1"/>
    <s v="Eduarda"/>
    <n v="7"/>
    <n v="393.39"/>
    <x v="0"/>
    <s v="Indicação"/>
    <n v="2753.73"/>
    <n v="393.39"/>
    <x v="4"/>
  </r>
  <r>
    <d v="2023-05-09T00:00:00"/>
    <s v="Curso ENEM"/>
    <x v="0"/>
    <s v="Carla"/>
    <n v="5"/>
    <n v="266.52"/>
    <x v="1"/>
    <s v="WhatsApp"/>
    <n v="1332.6"/>
    <n v="266.52"/>
    <x v="4"/>
  </r>
  <r>
    <d v="2023-05-10T00:00:00"/>
    <s v="Simulado Pro"/>
    <x v="3"/>
    <s v="Bruno"/>
    <n v="9"/>
    <n v="407.78"/>
    <x v="2"/>
    <s v="Loja"/>
    <n v="3670.02"/>
    <n v="407.78"/>
    <x v="4"/>
  </r>
  <r>
    <d v="2023-05-11T00:00:00"/>
    <s v="Plano Premium"/>
    <x v="3"/>
    <s v="Eduarda"/>
    <n v="8"/>
    <n v="98.03"/>
    <x v="4"/>
    <s v="Loja"/>
    <n v="784.24"/>
    <n v="98.03"/>
    <x v="4"/>
  </r>
  <r>
    <d v="2023-05-12T00:00:00"/>
    <s v="Mentoria ENEM"/>
    <x v="1"/>
    <s v="Diego"/>
    <n v="6"/>
    <n v="154.94999999999999"/>
    <x v="4"/>
    <s v="WhatsApp"/>
    <n v="929.69999999999993"/>
    <n v="154.94999999999999"/>
    <x v="4"/>
  </r>
  <r>
    <d v="2023-05-13T00:00:00"/>
    <s v="Material Revisão"/>
    <x v="4"/>
    <s v="Bruno"/>
    <n v="9"/>
    <n v="416.51"/>
    <x v="1"/>
    <s v="WhatsApp"/>
    <n v="3748.59"/>
    <n v="416.51"/>
    <x v="4"/>
  </r>
  <r>
    <d v="2023-05-14T00:00:00"/>
    <s v="Mentoria ENEM"/>
    <x v="1"/>
    <s v="Ana"/>
    <n v="4"/>
    <n v="492.95"/>
    <x v="4"/>
    <s v="WhatsApp"/>
    <n v="1971.8"/>
    <n v="492.95"/>
    <x v="4"/>
  </r>
  <r>
    <d v="2023-05-15T00:00:00"/>
    <s v="Mentoria ENEM"/>
    <x v="0"/>
    <s v="Ana"/>
    <n v="4"/>
    <n v="377.19"/>
    <x v="3"/>
    <s v="Online"/>
    <n v="1508.76"/>
    <n v="377.19"/>
    <x v="4"/>
  </r>
  <r>
    <d v="2023-05-16T00:00:00"/>
    <s v="Mentoria ENEM"/>
    <x v="3"/>
    <s v="Eduarda"/>
    <n v="5"/>
    <n v="438.99"/>
    <x v="1"/>
    <s v="WhatsApp"/>
    <n v="2194.9499999999998"/>
    <n v="438.98999999999995"/>
    <x v="4"/>
  </r>
  <r>
    <d v="2023-05-18T00:00:00"/>
    <s v="Curso ENEM"/>
    <x v="2"/>
    <s v="Carla"/>
    <n v="6"/>
    <n v="477.6"/>
    <x v="3"/>
    <s v="Indicação"/>
    <n v="2865.6"/>
    <n v="477.59999999999997"/>
    <x v="4"/>
  </r>
  <r>
    <d v="2023-05-19T00:00:00"/>
    <s v="Plano Premium"/>
    <x v="4"/>
    <s v="Ana"/>
    <n v="3"/>
    <n v="499.17"/>
    <x v="1"/>
    <s v="Indicação"/>
    <n v="1497.51"/>
    <n v="499.17"/>
    <x v="4"/>
  </r>
  <r>
    <d v="2023-05-20T00:00:00"/>
    <s v="Simulado Pro"/>
    <x v="0"/>
    <s v="Eduarda"/>
    <n v="2"/>
    <n v="465.4"/>
    <x v="2"/>
    <s v="Loja"/>
    <n v="930.8"/>
    <n v="465.4"/>
    <x v="4"/>
  </r>
  <r>
    <d v="2023-05-21T00:00:00"/>
    <s v="Mentoria ENEM"/>
    <x v="0"/>
    <s v="Eduarda"/>
    <n v="9"/>
    <n v="416.65"/>
    <x v="0"/>
    <s v="WhatsApp"/>
    <n v="3749.85"/>
    <n v="416.65"/>
    <x v="4"/>
  </r>
  <r>
    <d v="2023-05-22T00:00:00"/>
    <s v="Material Revisão"/>
    <x v="1"/>
    <s v="Ana"/>
    <n v="2"/>
    <n v="303.24"/>
    <x v="4"/>
    <s v="WhatsApp"/>
    <n v="606.48"/>
    <n v="303.24"/>
    <x v="4"/>
  </r>
  <r>
    <d v="2023-05-23T00:00:00"/>
    <s v="Simulado Pro"/>
    <x v="4"/>
    <s v="Eduarda"/>
    <n v="9"/>
    <n v="250.81"/>
    <x v="4"/>
    <s v="Indicação"/>
    <n v="2257.29"/>
    <n v="250.81"/>
    <x v="4"/>
  </r>
  <r>
    <d v="2023-05-24T00:00:00"/>
    <s v="Mentoria ENEM"/>
    <x v="0"/>
    <s v="Eduarda"/>
    <n v="7"/>
    <n v="53.3"/>
    <x v="2"/>
    <s v="WhatsApp"/>
    <n v="373.1"/>
    <n v="53.300000000000004"/>
    <x v="4"/>
  </r>
  <r>
    <d v="2023-05-25T00:00:00"/>
    <s v="Material Revisão"/>
    <x v="3"/>
    <s v="Carla"/>
    <n v="8"/>
    <n v="270.18"/>
    <x v="1"/>
    <s v="Indicação"/>
    <n v="2161.44"/>
    <n v="270.18"/>
    <x v="4"/>
  </r>
  <r>
    <d v="2023-05-26T00:00:00"/>
    <s v="Curso ENEM"/>
    <x v="3"/>
    <s v="Eduarda"/>
    <n v="9"/>
    <n v="437.06"/>
    <x v="1"/>
    <s v="WhatsApp"/>
    <n v="3933.54"/>
    <n v="437.06"/>
    <x v="4"/>
  </r>
  <r>
    <d v="2023-05-27T00:00:00"/>
    <s v="Plano Premium"/>
    <x v="3"/>
    <s v="Carla"/>
    <n v="2"/>
    <n v="431.33"/>
    <x v="3"/>
    <s v="Indicação"/>
    <n v="862.66"/>
    <n v="431.33"/>
    <x v="4"/>
  </r>
  <r>
    <d v="2023-05-28T00:00:00"/>
    <s v="Material Revisão"/>
    <x v="1"/>
    <s v="Carla"/>
    <n v="1"/>
    <n v="48.75"/>
    <x v="3"/>
    <s v="Indicação"/>
    <n v="48.75"/>
    <n v="48.75"/>
    <x v="4"/>
  </r>
  <r>
    <d v="2023-05-30T00:00:00"/>
    <s v="Material Revisão"/>
    <x v="3"/>
    <s v="Eduarda"/>
    <n v="4"/>
    <n v="462.82"/>
    <x v="3"/>
    <s v="Online"/>
    <n v="1851.28"/>
    <n v="462.82"/>
    <x v="4"/>
  </r>
  <r>
    <d v="2023-05-31T00:00:00"/>
    <s v="Material Revisão"/>
    <x v="2"/>
    <s v="Diego"/>
    <n v="4"/>
    <n v="499.52"/>
    <x v="0"/>
    <s v="WhatsApp"/>
    <n v="1998.08"/>
    <n v="499.52"/>
    <x v="4"/>
  </r>
  <r>
    <d v="2023-06-01T00:00:00"/>
    <s v="Simulado Pro"/>
    <x v="4"/>
    <s v="Bruno"/>
    <n v="5"/>
    <n v="293.61"/>
    <x v="1"/>
    <s v="Indicação"/>
    <n v="1468.05"/>
    <n v="293.61"/>
    <x v="5"/>
  </r>
  <r>
    <d v="2023-06-02T00:00:00"/>
    <s v="Plano Premium"/>
    <x v="1"/>
    <s v="Eduarda"/>
    <n v="6"/>
    <n v="236.04"/>
    <x v="2"/>
    <s v="Loja"/>
    <n v="1416.24"/>
    <n v="236.04"/>
    <x v="5"/>
  </r>
  <r>
    <d v="2023-06-03T00:00:00"/>
    <s v="Simulado Pro"/>
    <x v="2"/>
    <s v="Bruno"/>
    <n v="5"/>
    <n v="72.41"/>
    <x v="3"/>
    <s v="WhatsApp"/>
    <n v="362.05"/>
    <n v="72.41"/>
    <x v="5"/>
  </r>
  <r>
    <d v="2023-06-04T00:00:00"/>
    <s v="Material Revisão"/>
    <x v="0"/>
    <s v="Bruno"/>
    <n v="9"/>
    <n v="279.49"/>
    <x v="3"/>
    <s v="Loja"/>
    <n v="2515.41"/>
    <n v="279.49"/>
    <x v="5"/>
  </r>
  <r>
    <d v="2023-06-05T00:00:00"/>
    <s v="Simulado Pro"/>
    <x v="0"/>
    <s v="Diego"/>
    <n v="9"/>
    <n v="108.28"/>
    <x v="2"/>
    <s v="Indicação"/>
    <n v="974.52"/>
    <n v="108.28"/>
    <x v="5"/>
  </r>
  <r>
    <d v="2023-06-06T00:00:00"/>
    <s v="Plano Premium"/>
    <x v="4"/>
    <s v="Carla"/>
    <n v="1"/>
    <n v="417.56"/>
    <x v="0"/>
    <s v="Online"/>
    <n v="417.56"/>
    <n v="417.56"/>
    <x v="5"/>
  </r>
  <r>
    <d v="2023-06-07T00:00:00"/>
    <s v="Curso ENEM"/>
    <x v="1"/>
    <s v="Eduarda"/>
    <n v="6"/>
    <n v="34.81"/>
    <x v="0"/>
    <s v="Online"/>
    <n v="208.86"/>
    <n v="34.81"/>
    <x v="5"/>
  </r>
  <r>
    <d v="2023-06-08T00:00:00"/>
    <s v="Simulado Pro"/>
    <x v="4"/>
    <s v="Eduarda"/>
    <n v="2"/>
    <n v="351.41"/>
    <x v="4"/>
    <s v="WhatsApp"/>
    <n v="702.82"/>
    <n v="351.41"/>
    <x v="5"/>
  </r>
  <r>
    <d v="2023-06-10T00:00:00"/>
    <s v="Material Revisão"/>
    <x v="1"/>
    <s v="Diego"/>
    <n v="5"/>
    <n v="273.64"/>
    <x v="0"/>
    <s v="Indicação"/>
    <n v="1368.2"/>
    <n v="273.64"/>
    <x v="5"/>
  </r>
  <r>
    <d v="2023-06-11T00:00:00"/>
    <s v="Material Revisão"/>
    <x v="2"/>
    <s v="Bruno"/>
    <n v="6"/>
    <n v="202.69"/>
    <x v="1"/>
    <s v="Indicação"/>
    <n v="1216.1400000000001"/>
    <n v="202.69000000000003"/>
    <x v="5"/>
  </r>
  <r>
    <d v="2023-06-12T00:00:00"/>
    <s v="Mentoria ENEM"/>
    <x v="3"/>
    <s v="Carla"/>
    <n v="4"/>
    <n v="97.2"/>
    <x v="4"/>
    <s v="Loja"/>
    <n v="388.8"/>
    <n v="97.2"/>
    <x v="5"/>
  </r>
  <r>
    <d v="2023-06-13T00:00:00"/>
    <s v="Material Revisão"/>
    <x v="3"/>
    <s v="Bruno"/>
    <n v="1"/>
    <n v="336.64"/>
    <x v="2"/>
    <s v="WhatsApp"/>
    <n v="336.64"/>
    <n v="336.64"/>
    <x v="5"/>
  </r>
  <r>
    <d v="2023-06-14T00:00:00"/>
    <s v="Plano Premium"/>
    <x v="0"/>
    <s v="Ana"/>
    <n v="8"/>
    <n v="174.48"/>
    <x v="1"/>
    <s v="Loja"/>
    <n v="1395.84"/>
    <n v="174.48"/>
    <x v="5"/>
  </r>
  <r>
    <d v="2023-06-15T00:00:00"/>
    <s v="Simulado Pro"/>
    <x v="1"/>
    <s v="Ana"/>
    <n v="1"/>
    <n v="271.41000000000003"/>
    <x v="3"/>
    <s v="Online"/>
    <n v="271.41000000000003"/>
    <n v="271.41000000000003"/>
    <x v="5"/>
  </r>
  <r>
    <d v="2023-06-16T00:00:00"/>
    <s v="Plano Premium"/>
    <x v="3"/>
    <s v="Eduarda"/>
    <n v="8"/>
    <n v="485.04"/>
    <x v="0"/>
    <s v="Online"/>
    <n v="3880.32"/>
    <n v="485.04"/>
    <x v="5"/>
  </r>
  <r>
    <d v="2023-06-17T00:00:00"/>
    <s v="Mentoria ENEM"/>
    <x v="2"/>
    <s v="Ana"/>
    <n v="2"/>
    <n v="255.97"/>
    <x v="3"/>
    <s v="Indicação"/>
    <n v="511.94"/>
    <n v="255.97"/>
    <x v="5"/>
  </r>
  <r>
    <d v="2023-06-18T00:00:00"/>
    <s v="Mentoria ENEM"/>
    <x v="2"/>
    <s v="Bruno"/>
    <n v="4"/>
    <n v="71.62"/>
    <x v="0"/>
    <s v="WhatsApp"/>
    <n v="286.48"/>
    <n v="71.62"/>
    <x v="5"/>
  </r>
  <r>
    <d v="2023-06-19T00:00:00"/>
    <s v="Plano Premium"/>
    <x v="0"/>
    <s v="Eduarda"/>
    <n v="3"/>
    <n v="437.86"/>
    <x v="2"/>
    <s v="WhatsApp"/>
    <n v="1313.58"/>
    <n v="437.85999999999996"/>
    <x v="5"/>
  </r>
  <r>
    <d v="2023-06-20T00:00:00"/>
    <s v="Curso ENEM"/>
    <x v="4"/>
    <s v="Bruno"/>
    <n v="4"/>
    <n v="245.65"/>
    <x v="1"/>
    <s v="Indicação"/>
    <n v="982.6"/>
    <n v="245.65"/>
    <x v="5"/>
  </r>
  <r>
    <d v="2023-06-22T00:00:00"/>
    <s v="Curso ENEM"/>
    <x v="2"/>
    <s v="Bruno"/>
    <n v="8"/>
    <n v="179.19"/>
    <x v="1"/>
    <s v="Indicação"/>
    <n v="1433.52"/>
    <n v="179.19"/>
    <x v="5"/>
  </r>
  <r>
    <d v="2023-06-23T00:00:00"/>
    <s v="Curso ENEM"/>
    <x v="2"/>
    <s v="Carla"/>
    <n v="6"/>
    <n v="99.41"/>
    <x v="4"/>
    <s v="Online"/>
    <n v="596.46"/>
    <n v="99.410000000000011"/>
    <x v="5"/>
  </r>
  <r>
    <d v="2023-06-24T00:00:00"/>
    <s v="Curso ENEM"/>
    <x v="3"/>
    <s v="Eduarda"/>
    <n v="1"/>
    <n v="91.62"/>
    <x v="2"/>
    <s v="Indicação"/>
    <n v="91.62"/>
    <n v="91.62"/>
    <x v="5"/>
  </r>
  <r>
    <d v="2023-06-25T00:00:00"/>
    <s v="Simulado Pro"/>
    <x v="4"/>
    <s v="Bruno"/>
    <n v="7"/>
    <n v="163.19"/>
    <x v="3"/>
    <s v="Loja"/>
    <n v="1142.33"/>
    <n v="163.19"/>
    <x v="5"/>
  </r>
  <r>
    <d v="2023-06-26T00:00:00"/>
    <s v="Mentoria ENEM"/>
    <x v="4"/>
    <s v="Eduarda"/>
    <n v="4"/>
    <n v="375.36"/>
    <x v="2"/>
    <s v="Loja"/>
    <n v="1501.44"/>
    <n v="375.36"/>
    <x v="5"/>
  </r>
  <r>
    <d v="2023-06-27T00:00:00"/>
    <s v="Curso ENEM"/>
    <x v="1"/>
    <s v="Bruno"/>
    <n v="7"/>
    <n v="67.069999999999993"/>
    <x v="3"/>
    <s v="Online"/>
    <n v="469.49"/>
    <n v="67.070000000000007"/>
    <x v="5"/>
  </r>
  <r>
    <d v="2023-06-28T00:00:00"/>
    <s v="Curso ENEM"/>
    <x v="3"/>
    <s v="Diego"/>
    <n v="3"/>
    <n v="167.29"/>
    <x v="4"/>
    <s v="Indicação"/>
    <n v="501.87"/>
    <n v="167.29"/>
    <x v="5"/>
  </r>
  <r>
    <d v="2023-06-29T00:00:00"/>
    <s v="Plano Premium"/>
    <x v="0"/>
    <s v="Bruno"/>
    <n v="6"/>
    <n v="248.01"/>
    <x v="0"/>
    <s v="WhatsApp"/>
    <n v="1488.06"/>
    <n v="248.01"/>
    <x v="5"/>
  </r>
  <r>
    <d v="2023-06-30T00:00:00"/>
    <s v="Mentoria ENEM"/>
    <x v="2"/>
    <s v="Bruno"/>
    <n v="7"/>
    <n v="154.47"/>
    <x v="2"/>
    <s v="Indicação"/>
    <n v="1081.29"/>
    <n v="154.47"/>
    <x v="5"/>
  </r>
  <r>
    <d v="2023-07-01T00:00:00"/>
    <s v="Simulado Pro"/>
    <x v="3"/>
    <s v="Diego"/>
    <n v="4"/>
    <n v="227.14"/>
    <x v="3"/>
    <s v="Indicação"/>
    <n v="908.56"/>
    <n v="227.14"/>
    <x v="6"/>
  </r>
  <r>
    <d v="2023-07-03T00:00:00"/>
    <s v="Curso ENEM"/>
    <x v="2"/>
    <s v="Ana"/>
    <n v="9"/>
    <n v="24.11"/>
    <x v="2"/>
    <s v="WhatsApp"/>
    <n v="216.99"/>
    <n v="24.11"/>
    <x v="6"/>
  </r>
  <r>
    <d v="2023-07-04T00:00:00"/>
    <s v="Mentoria ENEM"/>
    <x v="4"/>
    <s v="Eduarda"/>
    <n v="8"/>
    <n v="173.11"/>
    <x v="1"/>
    <s v="Online"/>
    <n v="1384.88"/>
    <n v="173.11"/>
    <x v="6"/>
  </r>
  <r>
    <d v="2023-07-05T00:00:00"/>
    <s v="Material Revisão"/>
    <x v="2"/>
    <s v="Carla"/>
    <n v="1"/>
    <n v="229.27"/>
    <x v="1"/>
    <s v="Indicação"/>
    <n v="229.27"/>
    <n v="229.27"/>
    <x v="6"/>
  </r>
  <r>
    <d v="2023-07-06T00:00:00"/>
    <s v="Material Revisão"/>
    <x v="3"/>
    <s v="Eduarda"/>
    <n v="7"/>
    <n v="194.08"/>
    <x v="4"/>
    <s v="WhatsApp"/>
    <n v="1358.56"/>
    <n v="194.07999999999998"/>
    <x v="6"/>
  </r>
  <r>
    <d v="2023-07-07T00:00:00"/>
    <s v="Mentoria ENEM"/>
    <x v="4"/>
    <s v="Bruno"/>
    <n v="8"/>
    <n v="206.61"/>
    <x v="4"/>
    <s v="Indicação"/>
    <n v="1652.88"/>
    <n v="206.61"/>
    <x v="6"/>
  </r>
  <r>
    <d v="2023-07-08T00:00:00"/>
    <s v="Mentoria ENEM"/>
    <x v="2"/>
    <s v="Diego"/>
    <n v="3"/>
    <n v="223.43"/>
    <x v="3"/>
    <s v="Indicação"/>
    <n v="670.29"/>
    <n v="223.42999999999998"/>
    <x v="6"/>
  </r>
  <r>
    <d v="2023-07-09T00:00:00"/>
    <s v="Plano Premium"/>
    <x v="1"/>
    <s v="Ana"/>
    <n v="6"/>
    <n v="84.11"/>
    <x v="3"/>
    <s v="Indicação"/>
    <n v="504.66"/>
    <n v="84.11"/>
    <x v="6"/>
  </r>
  <r>
    <d v="2023-07-10T00:00:00"/>
    <s v="Mentoria ENEM"/>
    <x v="3"/>
    <s v="Eduarda"/>
    <n v="2"/>
    <n v="210.46"/>
    <x v="0"/>
    <s v="Online"/>
    <n v="420.92"/>
    <n v="210.46"/>
    <x v="6"/>
  </r>
  <r>
    <d v="2023-07-11T00:00:00"/>
    <s v="Material Revisão"/>
    <x v="1"/>
    <s v="Bruno"/>
    <n v="4"/>
    <n v="385.83"/>
    <x v="1"/>
    <s v="Loja"/>
    <n v="1543.32"/>
    <n v="385.83"/>
    <x v="6"/>
  </r>
  <r>
    <d v="2023-07-12T00:00:00"/>
    <s v="Simulado Pro"/>
    <x v="0"/>
    <s v="Carla"/>
    <n v="2"/>
    <n v="138.1"/>
    <x v="3"/>
    <s v="Loja"/>
    <n v="276.2"/>
    <n v="138.1"/>
    <x v="6"/>
  </r>
  <r>
    <d v="2023-07-14T00:00:00"/>
    <s v="Simulado Pro"/>
    <x v="3"/>
    <s v="Eduarda"/>
    <n v="2"/>
    <n v="394.15"/>
    <x v="0"/>
    <s v="Indicação"/>
    <n v="788.3"/>
    <n v="394.15"/>
    <x v="6"/>
  </r>
  <r>
    <d v="2023-07-15T00:00:00"/>
    <s v="Plano Premium"/>
    <x v="3"/>
    <s v="Diego"/>
    <n v="3"/>
    <n v="190.51"/>
    <x v="3"/>
    <s v="Loja"/>
    <n v="571.53"/>
    <n v="190.51"/>
    <x v="6"/>
  </r>
  <r>
    <d v="2023-07-16T00:00:00"/>
    <s v="Mentoria ENEM"/>
    <x v="4"/>
    <s v="Bruno"/>
    <n v="3"/>
    <n v="337.44"/>
    <x v="4"/>
    <s v="Indicação"/>
    <n v="1012.32"/>
    <n v="337.44"/>
    <x v="6"/>
  </r>
  <r>
    <d v="2023-07-17T00:00:00"/>
    <s v="Plano Premium"/>
    <x v="2"/>
    <s v="Diego"/>
    <n v="2"/>
    <n v="92.77"/>
    <x v="2"/>
    <s v="Indicação"/>
    <n v="185.54"/>
    <n v="92.77"/>
    <x v="6"/>
  </r>
  <r>
    <d v="2023-07-18T00:00:00"/>
    <s v="Material Revisão"/>
    <x v="3"/>
    <s v="Ana"/>
    <n v="9"/>
    <n v="156.79"/>
    <x v="2"/>
    <s v="WhatsApp"/>
    <n v="1411.11"/>
    <n v="156.79"/>
    <x v="6"/>
  </r>
  <r>
    <d v="2023-07-19T00:00:00"/>
    <s v="Plano Premium"/>
    <x v="3"/>
    <s v="Eduarda"/>
    <n v="7"/>
    <n v="379.38"/>
    <x v="2"/>
    <s v="Online"/>
    <n v="2655.66"/>
    <n v="379.38"/>
    <x v="6"/>
  </r>
  <r>
    <d v="2023-07-20T00:00:00"/>
    <s v="Mentoria ENEM"/>
    <x v="0"/>
    <s v="Carla"/>
    <n v="1"/>
    <n v="309.89"/>
    <x v="4"/>
    <s v="WhatsApp"/>
    <n v="309.89"/>
    <n v="309.89"/>
    <x v="6"/>
  </r>
  <r>
    <d v="2023-07-21T00:00:00"/>
    <s v="Plano Premium"/>
    <x v="0"/>
    <s v="Ana"/>
    <n v="5"/>
    <n v="204.91"/>
    <x v="2"/>
    <s v="Online"/>
    <n v="1024.55"/>
    <n v="204.91"/>
    <x v="6"/>
  </r>
  <r>
    <d v="2023-07-22T00:00:00"/>
    <s v="Simulado Pro"/>
    <x v="4"/>
    <s v="Diego"/>
    <n v="6"/>
    <n v="371.96"/>
    <x v="3"/>
    <s v="Loja"/>
    <n v="2231.7600000000002"/>
    <n v="371.96000000000004"/>
    <x v="6"/>
  </r>
  <r>
    <d v="2023-07-23T00:00:00"/>
    <s v="Mentoria ENEM"/>
    <x v="3"/>
    <s v="Carla"/>
    <n v="3"/>
    <n v="232.07"/>
    <x v="4"/>
    <s v="WhatsApp"/>
    <n v="696.21"/>
    <n v="232.07000000000002"/>
    <x v="6"/>
  </r>
  <r>
    <d v="2023-07-24T00:00:00"/>
    <s v="Mentoria ENEM"/>
    <x v="3"/>
    <s v="Ana"/>
    <n v="8"/>
    <n v="194.94"/>
    <x v="1"/>
    <s v="WhatsApp"/>
    <n v="1559.52"/>
    <n v="194.94"/>
    <x v="6"/>
  </r>
  <r>
    <d v="2023-07-26T00:00:00"/>
    <s v="Material Revisão"/>
    <x v="3"/>
    <s v="Bruno"/>
    <n v="2"/>
    <n v="291.20999999999998"/>
    <x v="2"/>
    <s v="Indicação"/>
    <n v="582.41999999999996"/>
    <n v="291.20999999999998"/>
    <x v="6"/>
  </r>
  <r>
    <d v="2023-07-27T00:00:00"/>
    <s v="Curso ENEM"/>
    <x v="1"/>
    <s v="Ana"/>
    <n v="8"/>
    <n v="148.72999999999999"/>
    <x v="2"/>
    <s v="Online"/>
    <n v="1189.8399999999999"/>
    <n v="148.72999999999999"/>
    <x v="6"/>
  </r>
  <r>
    <d v="2023-07-28T00:00:00"/>
    <s v="Curso ENEM"/>
    <x v="4"/>
    <s v="Bruno"/>
    <n v="6"/>
    <n v="360.82"/>
    <x v="2"/>
    <s v="Indicação"/>
    <n v="2164.92"/>
    <n v="360.82"/>
    <x v="6"/>
  </r>
  <r>
    <d v="2023-07-29T00:00:00"/>
    <s v="Material Revisão"/>
    <x v="2"/>
    <s v="Bruno"/>
    <n v="9"/>
    <n v="67.36"/>
    <x v="2"/>
    <s v="WhatsApp"/>
    <n v="606.24"/>
    <n v="67.36"/>
    <x v="6"/>
  </r>
  <r>
    <d v="2023-07-30T00:00:00"/>
    <s v="Mentoria ENEM"/>
    <x v="4"/>
    <s v="Diego"/>
    <n v="3"/>
    <n v="327.23"/>
    <x v="3"/>
    <s v="Loja"/>
    <n v="981.69"/>
    <n v="327.23"/>
    <x v="6"/>
  </r>
  <r>
    <d v="2023-07-31T00:00:00"/>
    <s v="Material Revisão"/>
    <x v="0"/>
    <s v="Eduarda"/>
    <n v="7"/>
    <n v="268"/>
    <x v="3"/>
    <s v="Indicação"/>
    <n v="1876"/>
    <n v="268"/>
    <x v="6"/>
  </r>
  <r>
    <d v="2023-08-01T00:00:00"/>
    <s v="Plano Premium"/>
    <x v="3"/>
    <s v="Carla"/>
    <n v="2"/>
    <n v="44.44"/>
    <x v="2"/>
    <s v="Online"/>
    <n v="88.88"/>
    <n v="44.44"/>
    <x v="7"/>
  </r>
  <r>
    <d v="2023-08-02T00:00:00"/>
    <s v="Curso ENEM"/>
    <x v="3"/>
    <s v="Diego"/>
    <n v="2"/>
    <n v="91.77"/>
    <x v="3"/>
    <s v="Online"/>
    <n v="183.54"/>
    <n v="91.77"/>
    <x v="7"/>
  </r>
  <r>
    <d v="2023-08-03T00:00:00"/>
    <s v="Simulado Pro"/>
    <x v="0"/>
    <s v="Bruno"/>
    <n v="5"/>
    <n v="266.52999999999997"/>
    <x v="3"/>
    <s v="Indicação"/>
    <n v="1332.65"/>
    <n v="266.53000000000003"/>
    <x v="7"/>
  </r>
  <r>
    <d v="2023-08-04T00:00:00"/>
    <s v="Plano Premium"/>
    <x v="3"/>
    <s v="Bruno"/>
    <n v="8"/>
    <n v="27.87"/>
    <x v="1"/>
    <s v="Online"/>
    <n v="222.96"/>
    <n v="27.87"/>
    <x v="7"/>
  </r>
  <r>
    <d v="2023-08-06T00:00:00"/>
    <s v="Curso ENEM"/>
    <x v="1"/>
    <s v="Eduarda"/>
    <n v="9"/>
    <n v="95.43"/>
    <x v="4"/>
    <s v="Loja"/>
    <n v="858.87000000000012"/>
    <n v="95.43"/>
    <x v="7"/>
  </r>
  <r>
    <d v="2023-08-07T00:00:00"/>
    <s v="Curso ENEM"/>
    <x v="2"/>
    <s v="Ana"/>
    <n v="6"/>
    <n v="443.99"/>
    <x v="3"/>
    <s v="Online"/>
    <n v="2663.94"/>
    <n v="443.99"/>
    <x v="7"/>
  </r>
  <r>
    <d v="2023-08-08T00:00:00"/>
    <s v="Curso ENEM"/>
    <x v="0"/>
    <s v="Eduarda"/>
    <n v="1"/>
    <n v="390.88"/>
    <x v="1"/>
    <s v="Online"/>
    <n v="390.88"/>
    <n v="390.88"/>
    <x v="7"/>
  </r>
  <r>
    <d v="2023-08-09T00:00:00"/>
    <s v="Mentoria ENEM"/>
    <x v="1"/>
    <s v="Ana"/>
    <n v="3"/>
    <n v="402.15"/>
    <x v="0"/>
    <s v="Loja"/>
    <n v="1206.45"/>
    <n v="402.15000000000003"/>
    <x v="7"/>
  </r>
  <r>
    <d v="2023-08-10T00:00:00"/>
    <s v="Simulado Pro"/>
    <x v="2"/>
    <s v="Diego"/>
    <n v="6"/>
    <n v="434.75"/>
    <x v="0"/>
    <s v="Loja"/>
    <n v="2608.5"/>
    <n v="434.75"/>
    <x v="7"/>
  </r>
  <r>
    <d v="2023-08-11T00:00:00"/>
    <s v="Mentoria ENEM"/>
    <x v="2"/>
    <s v="Carla"/>
    <n v="1"/>
    <n v="499.88"/>
    <x v="3"/>
    <s v="Indicação"/>
    <n v="499.88"/>
    <n v="499.88"/>
    <x v="7"/>
  </r>
  <r>
    <d v="2023-08-12T00:00:00"/>
    <s v="Material Revisão"/>
    <x v="1"/>
    <s v="Eduarda"/>
    <n v="2"/>
    <n v="184.25"/>
    <x v="0"/>
    <s v="Indicação"/>
    <n v="368.5"/>
    <n v="184.25"/>
    <x v="7"/>
  </r>
  <r>
    <d v="2023-08-13T00:00:00"/>
    <s v="Plano Premium"/>
    <x v="1"/>
    <s v="Eduarda"/>
    <n v="7"/>
    <n v="288.58"/>
    <x v="1"/>
    <s v="WhatsApp"/>
    <n v="2020.06"/>
    <n v="288.58"/>
    <x v="7"/>
  </r>
  <r>
    <d v="2023-08-14T00:00:00"/>
    <s v="Plano Premium"/>
    <x v="1"/>
    <s v="Carla"/>
    <n v="5"/>
    <n v="57.77"/>
    <x v="3"/>
    <s v="Indicação"/>
    <n v="288.85000000000002"/>
    <n v="57.77"/>
    <x v="7"/>
  </r>
  <r>
    <d v="2023-08-15T00:00:00"/>
    <s v="Material Revisão"/>
    <x v="3"/>
    <s v="Ana"/>
    <n v="8"/>
    <n v="270.55"/>
    <x v="1"/>
    <s v="Online"/>
    <n v="2164.4"/>
    <n v="270.55"/>
    <x v="7"/>
  </r>
  <r>
    <d v="2023-08-16T00:00:00"/>
    <s v="Plano Premium"/>
    <x v="4"/>
    <s v="Bruno"/>
    <n v="2"/>
    <n v="60.33"/>
    <x v="1"/>
    <s v="Loja"/>
    <n v="120.66"/>
    <n v="60.33"/>
    <x v="7"/>
  </r>
  <r>
    <d v="2023-08-18T00:00:00"/>
    <s v="Material Revisão"/>
    <x v="0"/>
    <s v="Diego"/>
    <n v="5"/>
    <n v="337.48"/>
    <x v="3"/>
    <s v="WhatsApp"/>
    <n v="1687.4"/>
    <n v="337.48"/>
    <x v="7"/>
  </r>
  <r>
    <d v="2023-08-19T00:00:00"/>
    <s v="Curso ENEM"/>
    <x v="3"/>
    <s v="Bruno"/>
    <n v="5"/>
    <n v="126.83"/>
    <x v="4"/>
    <s v="Online"/>
    <n v="634.15"/>
    <n v="126.83"/>
    <x v="7"/>
  </r>
  <r>
    <d v="2023-08-20T00:00:00"/>
    <s v="Plano Premium"/>
    <x v="4"/>
    <s v="Ana"/>
    <n v="5"/>
    <n v="422.06"/>
    <x v="1"/>
    <s v="Indicação"/>
    <n v="2110.3000000000002"/>
    <n v="422.06000000000006"/>
    <x v="7"/>
  </r>
  <r>
    <d v="2023-08-21T00:00:00"/>
    <s v="Material Revisão"/>
    <x v="4"/>
    <s v="Bruno"/>
    <n v="8"/>
    <n v="360.75"/>
    <x v="3"/>
    <s v="WhatsApp"/>
    <n v="2886"/>
    <n v="360.75"/>
    <x v="7"/>
  </r>
  <r>
    <d v="2023-08-22T00:00:00"/>
    <s v="Curso ENEM"/>
    <x v="4"/>
    <s v="Ana"/>
    <n v="6"/>
    <n v="274.51"/>
    <x v="3"/>
    <s v="Loja"/>
    <n v="1647.06"/>
    <n v="274.51"/>
    <x v="7"/>
  </r>
  <r>
    <d v="2023-08-23T00:00:00"/>
    <s v="Simulado Pro"/>
    <x v="2"/>
    <s v="Carla"/>
    <n v="4"/>
    <n v="480.71"/>
    <x v="3"/>
    <s v="WhatsApp"/>
    <n v="1922.84"/>
    <n v="480.71"/>
    <x v="7"/>
  </r>
  <r>
    <d v="2023-08-24T00:00:00"/>
    <s v="Material Revisão"/>
    <x v="4"/>
    <s v="Carla"/>
    <n v="3"/>
    <n v="327.77"/>
    <x v="4"/>
    <s v="Indicação"/>
    <n v="983.31"/>
    <n v="327.77"/>
    <x v="7"/>
  </r>
  <r>
    <d v="2023-08-25T00:00:00"/>
    <s v="Mentoria ENEM"/>
    <x v="2"/>
    <s v="Ana"/>
    <n v="3"/>
    <n v="233.76"/>
    <x v="2"/>
    <s v="Indicação"/>
    <n v="701.28"/>
    <n v="233.76"/>
    <x v="7"/>
  </r>
  <r>
    <d v="2023-08-26T00:00:00"/>
    <s v="Mentoria ENEM"/>
    <x v="0"/>
    <s v="Carla"/>
    <n v="6"/>
    <n v="188.92"/>
    <x v="1"/>
    <s v="Loja"/>
    <n v="1133.52"/>
    <n v="188.92"/>
    <x v="7"/>
  </r>
  <r>
    <d v="2023-08-27T00:00:00"/>
    <s v="Simulado Pro"/>
    <x v="1"/>
    <s v="Bruno"/>
    <n v="5"/>
    <n v="459.34"/>
    <x v="3"/>
    <s v="WhatsApp"/>
    <n v="2296.6999999999998"/>
    <n v="459.34"/>
    <x v="7"/>
  </r>
  <r>
    <d v="2023-08-29T00:00:00"/>
    <s v="Simulado Pro"/>
    <x v="0"/>
    <s v="Ana"/>
    <n v="7"/>
    <n v="50.82"/>
    <x v="2"/>
    <s v="Loja"/>
    <n v="355.74"/>
    <n v="50.82"/>
    <x v="7"/>
  </r>
  <r>
    <d v="2023-08-30T00:00:00"/>
    <s v="Mentoria ENEM"/>
    <x v="0"/>
    <s v="Carla"/>
    <n v="3"/>
    <n v="363.62"/>
    <x v="3"/>
    <s v="Online"/>
    <n v="1090.8599999999999"/>
    <n v="363.61999999999995"/>
    <x v="7"/>
  </r>
  <r>
    <d v="2023-08-31T00:00:00"/>
    <s v="Plano Premium"/>
    <x v="4"/>
    <s v="Ana"/>
    <n v="1"/>
    <n v="427.81"/>
    <x v="3"/>
    <s v="WhatsApp"/>
    <n v="427.81"/>
    <n v="427.81"/>
    <x v="7"/>
  </r>
  <r>
    <d v="2023-09-01T00:00:00"/>
    <s v="Simulado Pro"/>
    <x v="2"/>
    <s v="Eduarda"/>
    <n v="3"/>
    <n v="403.07"/>
    <x v="4"/>
    <s v="WhatsApp"/>
    <n v="1209.21"/>
    <n v="403.07"/>
    <x v="8"/>
  </r>
  <r>
    <d v="2023-09-02T00:00:00"/>
    <s v="Material Revisão"/>
    <x v="3"/>
    <s v="Bruno"/>
    <n v="7"/>
    <n v="323.3"/>
    <x v="1"/>
    <s v="WhatsApp"/>
    <n v="2263.1"/>
    <n v="323.3"/>
    <x v="8"/>
  </r>
  <r>
    <d v="2023-09-03T00:00:00"/>
    <s v="Plano Premium"/>
    <x v="0"/>
    <s v="Eduarda"/>
    <n v="9"/>
    <n v="403.07"/>
    <x v="0"/>
    <s v="Indicação"/>
    <n v="3627.63"/>
    <n v="403.07"/>
    <x v="8"/>
  </r>
  <r>
    <d v="2023-09-04T00:00:00"/>
    <s v="Plano Premium"/>
    <x v="1"/>
    <s v="Diego"/>
    <n v="5"/>
    <n v="167.27"/>
    <x v="1"/>
    <s v="Online"/>
    <n v="836.35"/>
    <n v="167.27"/>
    <x v="8"/>
  </r>
  <r>
    <d v="2023-09-05T00:00:00"/>
    <s v="Mentoria ENEM"/>
    <x v="0"/>
    <s v="Diego"/>
    <n v="7"/>
    <n v="414.08"/>
    <x v="4"/>
    <s v="Online"/>
    <n v="2898.56"/>
    <n v="414.08"/>
    <x v="8"/>
  </r>
  <r>
    <d v="2023-09-06T00:00:00"/>
    <s v="Plano Premium"/>
    <x v="2"/>
    <s v="Bruno"/>
    <n v="7"/>
    <n v="127.61"/>
    <x v="1"/>
    <s v="Loja"/>
    <n v="893.27"/>
    <n v="127.61"/>
    <x v="8"/>
  </r>
  <r>
    <d v="2023-09-07T00:00:00"/>
    <s v="Curso ENEM"/>
    <x v="3"/>
    <s v="Ana"/>
    <n v="8"/>
    <n v="377.42"/>
    <x v="2"/>
    <s v="Loja"/>
    <n v="3019.36"/>
    <n v="377.42"/>
    <x v="8"/>
  </r>
  <r>
    <d v="2023-09-09T00:00:00"/>
    <s v="Plano Premium"/>
    <x v="3"/>
    <s v="Ana"/>
    <n v="5"/>
    <n v="257.97000000000003"/>
    <x v="0"/>
    <s v="Loja"/>
    <n v="1289.8499999999999"/>
    <n v="257.96999999999997"/>
    <x v="8"/>
  </r>
  <r>
    <d v="2023-09-10T00:00:00"/>
    <s v="Plano Premium"/>
    <x v="4"/>
    <s v="Bruno"/>
    <n v="2"/>
    <n v="303.55"/>
    <x v="2"/>
    <s v="Loja"/>
    <n v="607.1"/>
    <n v="303.55"/>
    <x v="8"/>
  </r>
  <r>
    <d v="2023-09-11T00:00:00"/>
    <s v="Curso ENEM"/>
    <x v="0"/>
    <s v="Carla"/>
    <n v="9"/>
    <n v="254.74"/>
    <x v="0"/>
    <s v="WhatsApp"/>
    <n v="2292.66"/>
    <n v="254.73999999999998"/>
    <x v="8"/>
  </r>
  <r>
    <d v="2023-09-12T00:00:00"/>
    <s v="Plano Premium"/>
    <x v="4"/>
    <s v="Diego"/>
    <n v="9"/>
    <n v="245.63"/>
    <x v="4"/>
    <s v="Loja"/>
    <n v="2210.67"/>
    <n v="245.63"/>
    <x v="8"/>
  </r>
  <r>
    <d v="2023-09-13T00:00:00"/>
    <s v="Plano Premium"/>
    <x v="3"/>
    <s v="Bruno"/>
    <n v="9"/>
    <n v="315.16000000000003"/>
    <x v="4"/>
    <s v="Indicação"/>
    <n v="2836.44"/>
    <n v="315.16000000000003"/>
    <x v="8"/>
  </r>
  <r>
    <d v="2023-09-14T00:00:00"/>
    <s v="Material Revisão"/>
    <x v="2"/>
    <s v="Eduarda"/>
    <n v="9"/>
    <n v="203.76"/>
    <x v="0"/>
    <s v="Indicação"/>
    <n v="1833.84"/>
    <n v="203.76"/>
    <x v="8"/>
  </r>
  <r>
    <d v="2023-09-15T00:00:00"/>
    <s v="Plano Premium"/>
    <x v="4"/>
    <s v="Diego"/>
    <n v="8"/>
    <n v="237.05"/>
    <x v="0"/>
    <s v="Indicação"/>
    <n v="1896.4"/>
    <n v="237.05"/>
    <x v="8"/>
  </r>
  <r>
    <d v="2023-09-16T00:00:00"/>
    <s v="Simulado Pro"/>
    <x v="0"/>
    <s v="Bruno"/>
    <n v="4"/>
    <n v="210.55"/>
    <x v="1"/>
    <s v="WhatsApp"/>
    <n v="842.2"/>
    <n v="210.55"/>
    <x v="8"/>
  </r>
  <r>
    <d v="2023-09-17T00:00:00"/>
    <s v="Simulado Pro"/>
    <x v="1"/>
    <s v="Carla"/>
    <n v="3"/>
    <n v="243.85"/>
    <x v="0"/>
    <s v="WhatsApp"/>
    <n v="731.55"/>
    <n v="243.85"/>
    <x v="8"/>
  </r>
  <r>
    <d v="2023-09-18T00:00:00"/>
    <s v="Material Revisão"/>
    <x v="4"/>
    <s v="Ana"/>
    <n v="6"/>
    <n v="211.16"/>
    <x v="1"/>
    <s v="Indicação"/>
    <n v="1266.96"/>
    <n v="211.16"/>
    <x v="8"/>
  </r>
  <r>
    <d v="2023-09-19T00:00:00"/>
    <s v="Curso ENEM"/>
    <x v="1"/>
    <s v="Bruno"/>
    <n v="4"/>
    <n v="135.71"/>
    <x v="4"/>
    <s v="Indicação"/>
    <n v="542.84"/>
    <n v="135.71"/>
    <x v="8"/>
  </r>
  <r>
    <d v="2023-09-21T00:00:00"/>
    <s v="Curso ENEM"/>
    <x v="0"/>
    <s v="Eduarda"/>
    <n v="4"/>
    <n v="374.47"/>
    <x v="1"/>
    <s v="Indicação"/>
    <n v="1497.88"/>
    <n v="374.47"/>
    <x v="8"/>
  </r>
  <r>
    <d v="2023-09-22T00:00:00"/>
    <s v="Simulado Pro"/>
    <x v="3"/>
    <s v="Ana"/>
    <n v="3"/>
    <n v="244.62"/>
    <x v="1"/>
    <s v="Indicação"/>
    <n v="733.86"/>
    <n v="244.62"/>
    <x v="8"/>
  </r>
  <r>
    <d v="2023-09-23T00:00:00"/>
    <s v="Simulado Pro"/>
    <x v="4"/>
    <s v="Ana"/>
    <n v="5"/>
    <n v="399.43"/>
    <x v="3"/>
    <s v="WhatsApp"/>
    <n v="1997.15"/>
    <n v="399.43"/>
    <x v="8"/>
  </r>
  <r>
    <d v="2023-09-24T00:00:00"/>
    <s v="Material Revisão"/>
    <x v="0"/>
    <s v="Eduarda"/>
    <n v="4"/>
    <n v="48.44"/>
    <x v="1"/>
    <s v="Indicação"/>
    <n v="193.76"/>
    <n v="48.44"/>
    <x v="8"/>
  </r>
  <r>
    <d v="2023-09-25T00:00:00"/>
    <s v="Curso ENEM"/>
    <x v="1"/>
    <s v="Diego"/>
    <n v="4"/>
    <n v="197.6"/>
    <x v="0"/>
    <s v="Online"/>
    <n v="790.4"/>
    <n v="197.6"/>
    <x v="8"/>
  </r>
  <r>
    <d v="2023-09-26T00:00:00"/>
    <s v="Plano Premium"/>
    <x v="1"/>
    <s v="Ana"/>
    <n v="2"/>
    <n v="325.52"/>
    <x v="2"/>
    <s v="Online"/>
    <n v="651.04"/>
    <n v="325.52"/>
    <x v="8"/>
  </r>
  <r>
    <d v="2023-09-27T00:00:00"/>
    <s v="Curso ENEM"/>
    <x v="2"/>
    <s v="Bruno"/>
    <n v="4"/>
    <n v="402.48"/>
    <x v="4"/>
    <s v="WhatsApp"/>
    <n v="1609.92"/>
    <n v="402.48"/>
    <x v="8"/>
  </r>
  <r>
    <d v="2023-09-28T00:00:00"/>
    <s v="Plano Premium"/>
    <x v="3"/>
    <s v="Diego"/>
    <n v="4"/>
    <n v="314.33999999999997"/>
    <x v="0"/>
    <s v="Online"/>
    <n v="1257.3599999999999"/>
    <n v="314.33999999999997"/>
    <x v="8"/>
  </r>
  <r>
    <d v="2023-09-29T00:00:00"/>
    <s v="Curso ENEM"/>
    <x v="2"/>
    <s v="Bruno"/>
    <n v="8"/>
    <n v="194.38"/>
    <x v="2"/>
    <s v="Indicação"/>
    <n v="1555.04"/>
    <n v="194.38"/>
    <x v="8"/>
  </r>
  <r>
    <d v="2023-09-30T00:00:00"/>
    <s v="Curso ENEM"/>
    <x v="1"/>
    <s v="Bruno"/>
    <n v="9"/>
    <n v="330.28"/>
    <x v="2"/>
    <s v="Indicação"/>
    <n v="2972.52"/>
    <n v="330.28"/>
    <x v="8"/>
  </r>
  <r>
    <d v="2023-10-02T00:00:00"/>
    <s v="Simulado Pro"/>
    <x v="2"/>
    <s v="Eduarda"/>
    <n v="2"/>
    <n v="153.18"/>
    <x v="4"/>
    <s v="WhatsApp"/>
    <n v="306.36"/>
    <n v="153.18"/>
    <x v="9"/>
  </r>
  <r>
    <d v="2023-10-03T00:00:00"/>
    <s v="Simulado Pro"/>
    <x v="2"/>
    <s v="Eduarda"/>
    <n v="6"/>
    <n v="335.63"/>
    <x v="2"/>
    <s v="Loja"/>
    <n v="2013.78"/>
    <n v="335.63"/>
    <x v="9"/>
  </r>
  <r>
    <d v="2023-10-04T00:00:00"/>
    <s v="Material Revisão"/>
    <x v="4"/>
    <s v="Bruno"/>
    <n v="7"/>
    <n v="297.47000000000003"/>
    <x v="3"/>
    <s v="Loja"/>
    <n v="2082.29"/>
    <n v="297.46999999999997"/>
    <x v="9"/>
  </r>
  <r>
    <d v="2023-10-05T00:00:00"/>
    <s v="Simulado Pro"/>
    <x v="4"/>
    <s v="Eduarda"/>
    <n v="7"/>
    <n v="70.099999999999994"/>
    <x v="1"/>
    <s v="Online"/>
    <n v="490.69999999999987"/>
    <n v="70.09999999999998"/>
    <x v="9"/>
  </r>
  <r>
    <d v="2023-10-06T00:00:00"/>
    <s v="Material Revisão"/>
    <x v="4"/>
    <s v="Eduarda"/>
    <n v="4"/>
    <n v="225.82"/>
    <x v="2"/>
    <s v="Indicação"/>
    <n v="903.28"/>
    <n v="225.82"/>
    <x v="9"/>
  </r>
  <r>
    <d v="2023-10-07T00:00:00"/>
    <s v="Material Revisão"/>
    <x v="1"/>
    <s v="Eduarda"/>
    <n v="6"/>
    <n v="124.48"/>
    <x v="3"/>
    <s v="Online"/>
    <n v="746.88"/>
    <n v="124.48"/>
    <x v="9"/>
  </r>
  <r>
    <d v="2023-10-08T00:00:00"/>
    <s v="Curso ENEM"/>
    <x v="0"/>
    <s v="Eduarda"/>
    <n v="7"/>
    <n v="259.79000000000002"/>
    <x v="3"/>
    <s v="Indicação"/>
    <n v="1818.53"/>
    <n v="259.79000000000002"/>
    <x v="9"/>
  </r>
  <r>
    <d v="2023-10-09T00:00:00"/>
    <s v="Plano Premium"/>
    <x v="3"/>
    <s v="Bruno"/>
    <n v="7"/>
    <n v="303.89999999999998"/>
    <x v="1"/>
    <s v="WhatsApp"/>
    <n v="2127.3000000000002"/>
    <n v="303.90000000000003"/>
    <x v="9"/>
  </r>
  <r>
    <d v="2023-10-10T00:00:00"/>
    <s v="Mentoria ENEM"/>
    <x v="4"/>
    <s v="Eduarda"/>
    <n v="9"/>
    <n v="460.25"/>
    <x v="3"/>
    <s v="Online"/>
    <n v="4142.25"/>
    <n v="460.25"/>
    <x v="9"/>
  </r>
  <r>
    <d v="2023-10-11T00:00:00"/>
    <s v="Mentoria ENEM"/>
    <x v="4"/>
    <s v="Eduarda"/>
    <n v="8"/>
    <n v="150.51"/>
    <x v="4"/>
    <s v="WhatsApp"/>
    <n v="1204.08"/>
    <n v="150.51"/>
    <x v="9"/>
  </r>
  <r>
    <d v="2023-10-12T00:00:00"/>
    <s v="Simulado Pro"/>
    <x v="0"/>
    <s v="Eduarda"/>
    <n v="1"/>
    <n v="323.35000000000002"/>
    <x v="3"/>
    <s v="Online"/>
    <n v="323.35000000000002"/>
    <n v="323.35000000000002"/>
    <x v="9"/>
  </r>
  <r>
    <d v="2023-10-14T00:00:00"/>
    <s v="Material Revisão"/>
    <x v="1"/>
    <s v="Carla"/>
    <n v="6"/>
    <n v="286.58999999999997"/>
    <x v="4"/>
    <s v="Online"/>
    <n v="1719.54"/>
    <n v="286.58999999999997"/>
    <x v="9"/>
  </r>
  <r>
    <d v="2023-10-15T00:00:00"/>
    <s v="Material Revisão"/>
    <x v="3"/>
    <s v="Bruno"/>
    <n v="7"/>
    <n v="249.03"/>
    <x v="1"/>
    <s v="Online"/>
    <n v="1743.21"/>
    <n v="249.03"/>
    <x v="9"/>
  </r>
  <r>
    <d v="2023-10-16T00:00:00"/>
    <s v="Curso ENEM"/>
    <x v="2"/>
    <s v="Ana"/>
    <n v="6"/>
    <n v="234.57"/>
    <x v="0"/>
    <s v="WhatsApp"/>
    <n v="1407.42"/>
    <n v="234.57000000000002"/>
    <x v="9"/>
  </r>
  <r>
    <d v="2023-10-17T00:00:00"/>
    <s v="Curso ENEM"/>
    <x v="1"/>
    <s v="Diego"/>
    <n v="8"/>
    <n v="239.08"/>
    <x v="4"/>
    <s v="Loja"/>
    <n v="1912.64"/>
    <n v="239.08"/>
    <x v="9"/>
  </r>
  <r>
    <d v="2023-10-18T00:00:00"/>
    <s v="Plano Premium"/>
    <x v="1"/>
    <s v="Carla"/>
    <n v="3"/>
    <n v="395.49"/>
    <x v="0"/>
    <s v="Online"/>
    <n v="1186.47"/>
    <n v="395.49"/>
    <x v="9"/>
  </r>
  <r>
    <d v="2023-10-19T00:00:00"/>
    <s v="Simulado Pro"/>
    <x v="1"/>
    <s v="Carla"/>
    <n v="2"/>
    <n v="179.46"/>
    <x v="4"/>
    <s v="Loja"/>
    <n v="358.92"/>
    <n v="179.46"/>
    <x v="9"/>
  </r>
  <r>
    <d v="2023-10-20T00:00:00"/>
    <s v="Curso ENEM"/>
    <x v="4"/>
    <s v="Bruno"/>
    <n v="9"/>
    <n v="422.46"/>
    <x v="3"/>
    <s v="Indicação"/>
    <n v="3802.14"/>
    <n v="422.46"/>
    <x v="9"/>
  </r>
  <r>
    <d v="2023-10-21T00:00:00"/>
    <s v="Mentoria ENEM"/>
    <x v="4"/>
    <s v="Diego"/>
    <n v="1"/>
    <n v="303.76"/>
    <x v="2"/>
    <s v="Online"/>
    <n v="303.76"/>
    <n v="303.76"/>
    <x v="9"/>
  </r>
  <r>
    <d v="2023-10-22T00:00:00"/>
    <s v="Plano Premium"/>
    <x v="0"/>
    <s v="Carla"/>
    <n v="8"/>
    <n v="74.37"/>
    <x v="1"/>
    <s v="WhatsApp"/>
    <n v="594.96"/>
    <n v="74.37"/>
    <x v="9"/>
  </r>
  <r>
    <d v="2023-10-23T00:00:00"/>
    <s v="Mentoria ENEM"/>
    <x v="4"/>
    <s v="Bruno"/>
    <n v="2"/>
    <n v="40.270000000000003"/>
    <x v="0"/>
    <s v="WhatsApp"/>
    <n v="80.540000000000006"/>
    <n v="40.270000000000003"/>
    <x v="9"/>
  </r>
  <r>
    <d v="2023-10-25T00:00:00"/>
    <s v="Simulado Pro"/>
    <x v="3"/>
    <s v="Ana"/>
    <n v="1"/>
    <n v="45.3"/>
    <x v="1"/>
    <s v="Indicação"/>
    <n v="45.3"/>
    <n v="45.3"/>
    <x v="9"/>
  </r>
  <r>
    <d v="2023-10-26T00:00:00"/>
    <s v="Simulado Pro"/>
    <x v="2"/>
    <s v="Bruno"/>
    <n v="8"/>
    <n v="256.45"/>
    <x v="0"/>
    <s v="Loja"/>
    <n v="2051.6"/>
    <n v="256.45"/>
    <x v="9"/>
  </r>
  <r>
    <d v="2023-10-27T00:00:00"/>
    <s v="Material Revisão"/>
    <x v="4"/>
    <s v="Ana"/>
    <n v="5"/>
    <n v="169.61"/>
    <x v="2"/>
    <s v="WhatsApp"/>
    <n v="848.05000000000007"/>
    <n v="169.61"/>
    <x v="9"/>
  </r>
  <r>
    <d v="2023-10-28T00:00:00"/>
    <s v="Curso ENEM"/>
    <x v="3"/>
    <s v="Diego"/>
    <n v="8"/>
    <n v="388.36"/>
    <x v="1"/>
    <s v="WhatsApp"/>
    <n v="3106.88"/>
    <n v="388.36"/>
    <x v="9"/>
  </r>
  <r>
    <d v="2023-10-29T00:00:00"/>
    <s v="Curso ENEM"/>
    <x v="1"/>
    <s v="Ana"/>
    <n v="3"/>
    <n v="226.04"/>
    <x v="0"/>
    <s v="Loja"/>
    <n v="678.12"/>
    <n v="226.04"/>
    <x v="9"/>
  </r>
  <r>
    <d v="2023-10-30T00:00:00"/>
    <s v="Curso ENEM"/>
    <x v="2"/>
    <s v="Bruno"/>
    <n v="1"/>
    <n v="332.9"/>
    <x v="1"/>
    <s v="Indicação"/>
    <n v="332.9"/>
    <n v="332.9"/>
    <x v="9"/>
  </r>
  <r>
    <d v="2023-10-31T00:00:00"/>
    <s v="Material Revisão"/>
    <x v="0"/>
    <s v="Carla"/>
    <n v="1"/>
    <n v="313.33"/>
    <x v="3"/>
    <s v="Online"/>
    <n v="313.33"/>
    <n v="313.33"/>
    <x v="9"/>
  </r>
  <r>
    <d v="2023-11-01T00:00:00"/>
    <s v="Mentoria ENEM"/>
    <x v="1"/>
    <s v="Eduarda"/>
    <n v="6"/>
    <n v="310.58"/>
    <x v="2"/>
    <s v="Loja"/>
    <n v="1863.48"/>
    <n v="310.58"/>
    <x v="10"/>
  </r>
  <r>
    <d v="2023-11-02T00:00:00"/>
    <s v="Mentoria ENEM"/>
    <x v="2"/>
    <s v="Bruno"/>
    <n v="9"/>
    <n v="239.12"/>
    <x v="0"/>
    <s v="Indicação"/>
    <n v="2152.08"/>
    <n v="239.12"/>
    <x v="10"/>
  </r>
  <r>
    <d v="2023-11-03T00:00:00"/>
    <s v="Mentoria ENEM"/>
    <x v="2"/>
    <s v="Ana"/>
    <n v="4"/>
    <n v="64.12"/>
    <x v="2"/>
    <s v="Loja"/>
    <n v="256.48"/>
    <n v="64.12"/>
    <x v="10"/>
  </r>
  <r>
    <d v="2023-11-05T00:00:00"/>
    <s v="Curso ENEM"/>
    <x v="4"/>
    <s v="Bruno"/>
    <n v="5"/>
    <n v="431"/>
    <x v="3"/>
    <s v="Online"/>
    <n v="2155"/>
    <n v="431"/>
    <x v="10"/>
  </r>
  <r>
    <d v="2023-11-06T00:00:00"/>
    <s v="Mentoria ENEM"/>
    <x v="4"/>
    <s v="Ana"/>
    <n v="7"/>
    <n v="185.7"/>
    <x v="2"/>
    <s v="Indicação"/>
    <n v="1299.9000000000001"/>
    <n v="185.70000000000002"/>
    <x v="10"/>
  </r>
  <r>
    <d v="2023-11-07T00:00:00"/>
    <s v="Simulado Pro"/>
    <x v="3"/>
    <s v="Bruno"/>
    <n v="8"/>
    <n v="365.5"/>
    <x v="3"/>
    <s v="WhatsApp"/>
    <n v="2924"/>
    <n v="365.5"/>
    <x v="10"/>
  </r>
  <r>
    <d v="2023-11-08T00:00:00"/>
    <s v="Simulado Pro"/>
    <x v="0"/>
    <s v="Ana"/>
    <n v="1"/>
    <n v="122.79"/>
    <x v="3"/>
    <s v="WhatsApp"/>
    <n v="122.79"/>
    <n v="122.79"/>
    <x v="10"/>
  </r>
  <r>
    <d v="2023-11-09T00:00:00"/>
    <s v="Mentoria ENEM"/>
    <x v="2"/>
    <s v="Eduarda"/>
    <n v="2"/>
    <n v="241.04"/>
    <x v="3"/>
    <s v="WhatsApp"/>
    <n v="482.08"/>
    <n v="241.04"/>
    <x v="10"/>
  </r>
  <r>
    <d v="2023-11-10T00:00:00"/>
    <s v="Material Revisão"/>
    <x v="0"/>
    <s v="Bruno"/>
    <n v="1"/>
    <n v="383.94"/>
    <x v="4"/>
    <s v="WhatsApp"/>
    <n v="383.94"/>
    <n v="383.94"/>
    <x v="10"/>
  </r>
  <r>
    <d v="2023-11-11T00:00:00"/>
    <s v="Plano Premium"/>
    <x v="3"/>
    <s v="Ana"/>
    <n v="1"/>
    <n v="289.69"/>
    <x v="3"/>
    <s v="Online"/>
    <n v="289.69"/>
    <n v="289.69"/>
    <x v="10"/>
  </r>
  <r>
    <d v="2023-11-12T00:00:00"/>
    <s v="Simulado Pro"/>
    <x v="4"/>
    <s v="Bruno"/>
    <n v="5"/>
    <n v="238.41"/>
    <x v="0"/>
    <s v="Loja"/>
    <n v="1192.05"/>
    <n v="238.41"/>
    <x v="10"/>
  </r>
  <r>
    <d v="2023-11-13T00:00:00"/>
    <s v="Plano Premium"/>
    <x v="1"/>
    <s v="Ana"/>
    <n v="6"/>
    <n v="290.58"/>
    <x v="4"/>
    <s v="Indicação"/>
    <n v="1743.48"/>
    <n v="290.58"/>
    <x v="10"/>
  </r>
  <r>
    <d v="2023-11-14T00:00:00"/>
    <s v="Curso ENEM"/>
    <x v="4"/>
    <s v="Ana"/>
    <n v="7"/>
    <n v="266.77"/>
    <x v="4"/>
    <s v="Loja"/>
    <n v="1867.39"/>
    <n v="266.77000000000004"/>
    <x v="10"/>
  </r>
  <r>
    <d v="2023-11-15T00:00:00"/>
    <s v="Mentoria ENEM"/>
    <x v="3"/>
    <s v="Eduarda"/>
    <n v="8"/>
    <n v="289.16000000000003"/>
    <x v="1"/>
    <s v="WhatsApp"/>
    <n v="2313.2800000000002"/>
    <n v="289.16000000000003"/>
    <x v="10"/>
  </r>
  <r>
    <d v="2023-11-17T00:00:00"/>
    <s v="Simulado Pro"/>
    <x v="3"/>
    <s v="Carla"/>
    <n v="2"/>
    <n v="127.14"/>
    <x v="3"/>
    <s v="WhatsApp"/>
    <n v="254.28"/>
    <n v="127.14"/>
    <x v="10"/>
  </r>
  <r>
    <d v="2023-11-18T00:00:00"/>
    <s v="Mentoria ENEM"/>
    <x v="2"/>
    <s v="Carla"/>
    <n v="7"/>
    <n v="464.77"/>
    <x v="3"/>
    <s v="Loja"/>
    <n v="3253.39"/>
    <n v="464.77"/>
    <x v="10"/>
  </r>
  <r>
    <d v="2023-11-19T00:00:00"/>
    <s v="Simulado Pro"/>
    <x v="3"/>
    <s v="Ana"/>
    <n v="8"/>
    <n v="266"/>
    <x v="1"/>
    <s v="WhatsApp"/>
    <n v="2128"/>
    <n v="266"/>
    <x v="10"/>
  </r>
  <r>
    <d v="2023-11-20T00:00:00"/>
    <s v="Mentoria ENEM"/>
    <x v="0"/>
    <s v="Ana"/>
    <n v="1"/>
    <n v="169.22"/>
    <x v="2"/>
    <s v="WhatsApp"/>
    <n v="169.22"/>
    <n v="169.22"/>
    <x v="10"/>
  </r>
  <r>
    <d v="2023-11-21T00:00:00"/>
    <s v="Plano Premium"/>
    <x v="4"/>
    <s v="Carla"/>
    <n v="7"/>
    <n v="320.20999999999998"/>
    <x v="3"/>
    <s v="Online"/>
    <n v="2241.4699999999998"/>
    <n v="320.20999999999998"/>
    <x v="10"/>
  </r>
  <r>
    <d v="2023-11-22T00:00:00"/>
    <s v="Plano Premium"/>
    <x v="3"/>
    <s v="Ana"/>
    <n v="7"/>
    <n v="343.01"/>
    <x v="2"/>
    <s v="Online"/>
    <n v="2401.0700000000002"/>
    <n v="343.01000000000005"/>
    <x v="10"/>
  </r>
  <r>
    <d v="2023-11-23T00:00:00"/>
    <s v="Plano Premium"/>
    <x v="3"/>
    <s v="Diego"/>
    <n v="3"/>
    <n v="331.23"/>
    <x v="1"/>
    <s v="WhatsApp"/>
    <n v="993.69"/>
    <n v="331.23"/>
    <x v="10"/>
  </r>
  <r>
    <d v="2023-11-24T00:00:00"/>
    <s v="Material Revisão"/>
    <x v="4"/>
    <s v="Eduarda"/>
    <n v="9"/>
    <n v="236.8"/>
    <x v="4"/>
    <s v="WhatsApp"/>
    <n v="2131.1999999999998"/>
    <n v="236.79999999999998"/>
    <x v="10"/>
  </r>
  <r>
    <d v="2023-11-25T00:00:00"/>
    <s v="Plano Premium"/>
    <x v="3"/>
    <s v="Diego"/>
    <n v="2"/>
    <n v="265.69"/>
    <x v="0"/>
    <s v="Online"/>
    <n v="531.38"/>
    <n v="265.69"/>
    <x v="10"/>
  </r>
  <r>
    <d v="2023-11-26T00:00:00"/>
    <s v="Plano Premium"/>
    <x v="4"/>
    <s v="Carla"/>
    <n v="8"/>
    <n v="331.38"/>
    <x v="2"/>
    <s v="WhatsApp"/>
    <n v="2651.04"/>
    <n v="331.38"/>
    <x v="10"/>
  </r>
  <r>
    <d v="2023-11-28T00:00:00"/>
    <s v="Mentoria ENEM"/>
    <x v="2"/>
    <s v="Ana"/>
    <n v="6"/>
    <n v="45.45"/>
    <x v="3"/>
    <s v="WhatsApp"/>
    <n v="272.7"/>
    <n v="45.449999999999996"/>
    <x v="10"/>
  </r>
  <r>
    <d v="2023-11-29T00:00:00"/>
    <s v="Material Revisão"/>
    <x v="3"/>
    <s v="Carla"/>
    <n v="5"/>
    <n v="37.76"/>
    <x v="1"/>
    <s v="Indicação"/>
    <n v="188.8"/>
    <n v="37.760000000000005"/>
    <x v="10"/>
  </r>
  <r>
    <d v="2023-11-30T00:00:00"/>
    <s v="Mentoria ENEM"/>
    <x v="3"/>
    <s v="Carla"/>
    <n v="5"/>
    <n v="36.14"/>
    <x v="4"/>
    <s v="Indicação"/>
    <n v="180.7"/>
    <n v="36.14"/>
    <x v="10"/>
  </r>
  <r>
    <d v="2023-12-01T00:00:00"/>
    <s v="Plano Premium"/>
    <x v="4"/>
    <s v="Eduarda"/>
    <n v="2"/>
    <n v="63.89"/>
    <x v="4"/>
    <s v="Loja"/>
    <n v="127.78"/>
    <n v="63.89"/>
    <x v="11"/>
  </r>
  <r>
    <d v="2023-12-02T00:00:00"/>
    <s v="Curso ENEM"/>
    <x v="3"/>
    <s v="Bruno"/>
    <n v="3"/>
    <n v="460.75"/>
    <x v="4"/>
    <s v="WhatsApp"/>
    <n v="1382.25"/>
    <n v="460.75"/>
    <x v="11"/>
  </r>
  <r>
    <d v="2023-12-03T00:00:00"/>
    <s v="Curso ENEM"/>
    <x v="1"/>
    <s v="Diego"/>
    <n v="7"/>
    <n v="238.86"/>
    <x v="1"/>
    <s v="Online"/>
    <n v="1672.02"/>
    <n v="238.85999999999999"/>
    <x v="11"/>
  </r>
  <r>
    <d v="2023-12-04T00:00:00"/>
    <s v="Material Revisão"/>
    <x v="3"/>
    <s v="Ana"/>
    <n v="6"/>
    <n v="307.49"/>
    <x v="4"/>
    <s v="Loja"/>
    <n v="1844.94"/>
    <n v="307.49"/>
    <x v="11"/>
  </r>
  <r>
    <d v="2023-12-05T00:00:00"/>
    <s v="Mentoria ENEM"/>
    <x v="1"/>
    <s v="Ana"/>
    <n v="5"/>
    <n v="22.86"/>
    <x v="2"/>
    <s v="WhatsApp"/>
    <n v="114.3"/>
    <n v="22.86"/>
    <x v="11"/>
  </r>
  <r>
    <d v="2023-12-06T00:00:00"/>
    <s v="Mentoria ENEM"/>
    <x v="1"/>
    <s v="Eduarda"/>
    <n v="7"/>
    <n v="481.24"/>
    <x v="4"/>
    <s v="Online"/>
    <n v="3368.68"/>
    <n v="481.23999999999995"/>
    <x v="11"/>
  </r>
  <r>
    <d v="2023-12-07T00:00:00"/>
    <s v="Curso ENEM"/>
    <x v="2"/>
    <s v="Ana"/>
    <n v="3"/>
    <n v="485.49"/>
    <x v="2"/>
    <s v="Indicação"/>
    <n v="1456.47"/>
    <n v="485.49"/>
    <x v="11"/>
  </r>
  <r>
    <d v="2023-12-08T00:00:00"/>
    <s v="Plano Premium"/>
    <x v="3"/>
    <s v="Bruno"/>
    <n v="6"/>
    <n v="474.29"/>
    <x v="4"/>
    <s v="Loja"/>
    <n v="2845.74"/>
    <n v="474.28999999999996"/>
    <x v="11"/>
  </r>
  <r>
    <d v="2023-12-10T00:00:00"/>
    <s v="Mentoria ENEM"/>
    <x v="1"/>
    <s v="Diego"/>
    <n v="4"/>
    <n v="25.93"/>
    <x v="2"/>
    <s v="WhatsApp"/>
    <n v="103.72"/>
    <n v="25.93"/>
    <x v="11"/>
  </r>
  <r>
    <d v="2023-12-11T00:00:00"/>
    <s v="Plano Premium"/>
    <x v="2"/>
    <s v="Eduarda"/>
    <n v="7"/>
    <n v="231.55"/>
    <x v="2"/>
    <s v="Indicação"/>
    <n v="1620.85"/>
    <n v="231.54999999999998"/>
    <x v="11"/>
  </r>
  <r>
    <d v="2023-12-12T00:00:00"/>
    <s v="Plano Premium"/>
    <x v="0"/>
    <s v="Carla"/>
    <n v="6"/>
    <n v="258.76"/>
    <x v="4"/>
    <s v="Online"/>
    <n v="1552.56"/>
    <n v="258.76"/>
    <x v="11"/>
  </r>
  <r>
    <d v="2023-12-13T00:00:00"/>
    <s v="Curso ENEM"/>
    <x v="3"/>
    <s v="Eduarda"/>
    <n v="3"/>
    <n v="29.25"/>
    <x v="3"/>
    <s v="Loja"/>
    <n v="87.75"/>
    <n v="29.25"/>
    <x v="11"/>
  </r>
  <r>
    <d v="2023-12-14T00:00:00"/>
    <s v="Simulado Pro"/>
    <x v="3"/>
    <s v="Diego"/>
    <n v="2"/>
    <n v="238.94"/>
    <x v="4"/>
    <s v="Loja"/>
    <n v="477.88"/>
    <n v="238.94"/>
    <x v="11"/>
  </r>
  <r>
    <d v="2023-12-15T00:00:00"/>
    <s v="Mentoria ENEM"/>
    <x v="0"/>
    <s v="Diego"/>
    <n v="3"/>
    <n v="305.2"/>
    <x v="2"/>
    <s v="Loja"/>
    <n v="915.59999999999991"/>
    <n v="305.2"/>
    <x v="11"/>
  </r>
  <r>
    <d v="2023-12-16T00:00:00"/>
    <s v="Plano Premium"/>
    <x v="4"/>
    <s v="Bruno"/>
    <n v="1"/>
    <n v="362.65"/>
    <x v="3"/>
    <s v="WhatsApp"/>
    <n v="362.65"/>
    <n v="362.65"/>
    <x v="11"/>
  </r>
  <r>
    <d v="2023-12-17T00:00:00"/>
    <s v="Curso ENEM"/>
    <x v="1"/>
    <s v="Diego"/>
    <n v="4"/>
    <n v="274.64999999999998"/>
    <x v="1"/>
    <s v="WhatsApp"/>
    <n v="1098.5999999999999"/>
    <n v="274.64999999999998"/>
    <x v="11"/>
  </r>
  <r>
    <d v="2023-12-18T00:00:00"/>
    <s v="Mentoria ENEM"/>
    <x v="2"/>
    <s v="Ana"/>
    <n v="5"/>
    <n v="472.94"/>
    <x v="2"/>
    <s v="Indicação"/>
    <n v="2364.6999999999998"/>
    <n v="472.93999999999994"/>
    <x v="11"/>
  </r>
  <r>
    <d v="2023-12-19T00:00:00"/>
    <s v="Curso ENEM"/>
    <x v="2"/>
    <s v="Eduarda"/>
    <n v="3"/>
    <n v="134.16"/>
    <x v="0"/>
    <s v="Online"/>
    <n v="402.48"/>
    <n v="134.16"/>
    <x v="11"/>
  </r>
  <r>
    <d v="2023-12-21T00:00:00"/>
    <s v="Material Revisão"/>
    <x v="0"/>
    <s v="Diego"/>
    <n v="4"/>
    <n v="263.99"/>
    <x v="0"/>
    <s v="WhatsApp"/>
    <n v="1055.96"/>
    <n v="263.99"/>
    <x v="11"/>
  </r>
  <r>
    <d v="2023-12-22T00:00:00"/>
    <s v="Curso ENEM"/>
    <x v="4"/>
    <s v="Carla"/>
    <n v="6"/>
    <n v="93.95"/>
    <x v="3"/>
    <s v="Indicação"/>
    <n v="563.70000000000005"/>
    <n v="93.95"/>
    <x v="11"/>
  </r>
  <r>
    <d v="2023-12-23T00:00:00"/>
    <s v="Plano Premium"/>
    <x v="1"/>
    <s v="Ana"/>
    <n v="8"/>
    <n v="493.81"/>
    <x v="1"/>
    <s v="Online"/>
    <n v="3950.48"/>
    <n v="493.81"/>
    <x v="11"/>
  </r>
  <r>
    <d v="2023-12-24T00:00:00"/>
    <s v="Simulado Pro"/>
    <x v="0"/>
    <s v="Eduarda"/>
    <n v="4"/>
    <n v="315.27999999999997"/>
    <x v="1"/>
    <s v="Indicação"/>
    <n v="1261.1199999999999"/>
    <n v="315.27999999999997"/>
    <x v="11"/>
  </r>
  <r>
    <d v="2023-12-25T00:00:00"/>
    <s v="Mentoria ENEM"/>
    <x v="0"/>
    <s v="Carla"/>
    <n v="1"/>
    <n v="279.24"/>
    <x v="4"/>
    <s v="Indicação"/>
    <n v="279.24"/>
    <n v="279.24"/>
    <x v="11"/>
  </r>
  <r>
    <d v="2023-12-26T00:00:00"/>
    <s v="Simulado Pro"/>
    <x v="1"/>
    <s v="Ana"/>
    <n v="6"/>
    <n v="283.79000000000002"/>
    <x v="2"/>
    <s v="WhatsApp"/>
    <n v="1702.74"/>
    <n v="283.79000000000002"/>
    <x v="11"/>
  </r>
  <r>
    <d v="2023-12-27T00:00:00"/>
    <s v="Mentoria ENEM"/>
    <x v="1"/>
    <s v="Diego"/>
    <n v="3"/>
    <n v="365.81"/>
    <x v="2"/>
    <s v="Loja"/>
    <n v="1097.43"/>
    <n v="365.81"/>
    <x v="11"/>
  </r>
  <r>
    <d v="2023-12-28T00:00:00"/>
    <s v="Plano Premium"/>
    <x v="2"/>
    <s v="Eduarda"/>
    <n v="3"/>
    <n v="193.88"/>
    <x v="3"/>
    <s v="Online"/>
    <n v="581.64"/>
    <n v="193.88"/>
    <x v="11"/>
  </r>
  <r>
    <d v="2023-12-29T00:00:00"/>
    <s v="Plano Premium"/>
    <x v="0"/>
    <s v="Ana"/>
    <n v="1"/>
    <n v="345.58"/>
    <x v="3"/>
    <s v="WhatsApp"/>
    <n v="345.58"/>
    <n v="345.58"/>
    <x v="11"/>
  </r>
  <r>
    <d v="2023-12-30T00:00:00"/>
    <s v="Plano Premium"/>
    <x v="1"/>
    <s v="Bruno"/>
    <n v="8"/>
    <n v="284.06"/>
    <x v="4"/>
    <s v="WhatsApp"/>
    <n v="2272.48"/>
    <n v="284.06"/>
    <x v="11"/>
  </r>
  <r>
    <d v="2024-01-01T00:00:00"/>
    <s v="Plano Premium"/>
    <x v="3"/>
    <s v="Carla"/>
    <n v="3"/>
    <n v="28.81"/>
    <x v="0"/>
    <s v="Online"/>
    <n v="86.429999999999993"/>
    <n v="28.81"/>
    <x v="12"/>
  </r>
  <r>
    <d v="2024-01-02T00:00:00"/>
    <s v="Simulado Pro"/>
    <x v="2"/>
    <s v="Carla"/>
    <n v="5"/>
    <n v="75.930000000000007"/>
    <x v="2"/>
    <s v="Indicação"/>
    <n v="379.65"/>
    <n v="75.929999999999993"/>
    <x v="12"/>
  </r>
  <r>
    <d v="2024-01-03T00:00:00"/>
    <s v="Plano Premium"/>
    <x v="1"/>
    <s v="Eduarda"/>
    <n v="7"/>
    <n v="77.540000000000006"/>
    <x v="2"/>
    <s v="WhatsApp"/>
    <n v="542.78000000000009"/>
    <n v="77.540000000000006"/>
    <x v="12"/>
  </r>
  <r>
    <d v="2024-01-04T00:00:00"/>
    <s v="Simulado Pro"/>
    <x v="1"/>
    <s v="Diego"/>
    <n v="7"/>
    <n v="78.78"/>
    <x v="4"/>
    <s v="WhatsApp"/>
    <n v="551.46"/>
    <n v="78.78"/>
    <x v="12"/>
  </r>
  <r>
    <d v="2024-01-05T00:00:00"/>
    <s v="Curso ENEM"/>
    <x v="2"/>
    <s v="Diego"/>
    <n v="1"/>
    <n v="134.54"/>
    <x v="1"/>
    <s v="Online"/>
    <n v="134.54"/>
    <n v="134.54"/>
    <x v="12"/>
  </r>
  <r>
    <d v="2024-01-06T00:00:00"/>
    <s v="Material Revisão"/>
    <x v="1"/>
    <s v="Ana"/>
    <n v="1"/>
    <n v="244.71"/>
    <x v="0"/>
    <s v="Indicação"/>
    <n v="244.71"/>
    <n v="244.71"/>
    <x v="12"/>
  </r>
  <r>
    <d v="2024-01-07T00:00:00"/>
    <s v="Simulado Pro"/>
    <x v="2"/>
    <s v="Diego"/>
    <n v="1"/>
    <n v="52.34"/>
    <x v="0"/>
    <s v="Online"/>
    <n v="52.34"/>
    <n v="52.34"/>
    <x v="12"/>
  </r>
  <r>
    <d v="2024-01-08T00:00:00"/>
    <s v="Simulado Pro"/>
    <x v="1"/>
    <s v="Bruno"/>
    <n v="8"/>
    <n v="465.07"/>
    <x v="0"/>
    <s v="Loja"/>
    <n v="3720.56"/>
    <n v="465.07"/>
    <x v="12"/>
  </r>
  <r>
    <d v="2024-01-09T00:00:00"/>
    <s v="Curso ENEM"/>
    <x v="4"/>
    <s v="Diego"/>
    <n v="3"/>
    <n v="26.28"/>
    <x v="4"/>
    <s v="WhatsApp"/>
    <n v="78.84"/>
    <n v="26.28"/>
    <x v="12"/>
  </r>
  <r>
    <d v="2024-01-10T00:00:00"/>
    <s v="Curso ENEM"/>
    <x v="4"/>
    <s v="Diego"/>
    <n v="8"/>
    <n v="80.05"/>
    <x v="3"/>
    <s v="WhatsApp"/>
    <n v="640.4"/>
    <n v="80.05"/>
    <x v="12"/>
  </r>
  <r>
    <d v="2024-01-11T00:00:00"/>
    <s v="Simulado Pro"/>
    <x v="1"/>
    <s v="Carla"/>
    <n v="4"/>
    <n v="170.75"/>
    <x v="3"/>
    <s v="Indicação"/>
    <n v="683"/>
    <n v="170.75"/>
    <x v="12"/>
  </r>
  <r>
    <d v="2024-01-13T00:00:00"/>
    <s v="Plano Premium"/>
    <x v="0"/>
    <s v="Ana"/>
    <n v="9"/>
    <n v="154.82"/>
    <x v="2"/>
    <s v="Indicação"/>
    <n v="1393.38"/>
    <n v="154.82000000000002"/>
    <x v="12"/>
  </r>
  <r>
    <d v="2024-01-14T00:00:00"/>
    <s v="Curso ENEM"/>
    <x v="3"/>
    <s v="Carla"/>
    <n v="4"/>
    <n v="494.73"/>
    <x v="2"/>
    <s v="Online"/>
    <n v="1978.92"/>
    <n v="494.73"/>
    <x v="12"/>
  </r>
  <r>
    <d v="2024-01-15T00:00:00"/>
    <s v="Mentoria ENEM"/>
    <x v="0"/>
    <s v="Eduarda"/>
    <n v="7"/>
    <n v="249.27"/>
    <x v="4"/>
    <s v="Indicação"/>
    <n v="1744.89"/>
    <n v="249.27"/>
    <x v="12"/>
  </r>
  <r>
    <d v="2024-01-16T00:00:00"/>
    <s v="Material Revisão"/>
    <x v="4"/>
    <s v="Bruno"/>
    <n v="1"/>
    <n v="391.89"/>
    <x v="4"/>
    <s v="Indicação"/>
    <n v="391.89"/>
    <n v="391.89"/>
    <x v="12"/>
  </r>
  <r>
    <d v="2024-01-17T00:00:00"/>
    <s v="Curso ENEM"/>
    <x v="4"/>
    <s v="Carla"/>
    <n v="6"/>
    <n v="475.92"/>
    <x v="1"/>
    <s v="WhatsApp"/>
    <n v="2855.52"/>
    <n v="475.92"/>
    <x v="12"/>
  </r>
  <r>
    <d v="2024-01-18T00:00:00"/>
    <s v="Mentoria ENEM"/>
    <x v="0"/>
    <s v="Carla"/>
    <n v="4"/>
    <n v="192.31"/>
    <x v="0"/>
    <s v="Loja"/>
    <n v="769.24"/>
    <n v="192.31"/>
    <x v="12"/>
  </r>
  <r>
    <d v="2024-01-19T00:00:00"/>
    <s v="Material Revisão"/>
    <x v="0"/>
    <s v="Ana"/>
    <n v="7"/>
    <n v="327.39"/>
    <x v="3"/>
    <s v="Indicação"/>
    <n v="2291.73"/>
    <n v="327.39"/>
    <x v="12"/>
  </r>
  <r>
    <d v="2024-01-20T00:00:00"/>
    <s v="Plano Premium"/>
    <x v="3"/>
    <s v="Diego"/>
    <n v="7"/>
    <n v="190.7"/>
    <x v="3"/>
    <s v="WhatsApp"/>
    <n v="1334.9"/>
    <n v="190.70000000000002"/>
    <x v="12"/>
  </r>
  <r>
    <d v="2024-01-21T00:00:00"/>
    <s v="Simulado Pro"/>
    <x v="4"/>
    <s v="Diego"/>
    <n v="9"/>
    <n v="235.12"/>
    <x v="3"/>
    <s v="Loja"/>
    <n v="2116.08"/>
    <n v="235.12"/>
    <x v="12"/>
  </r>
  <r>
    <d v="2024-01-22T00:00:00"/>
    <s v="Plano Premium"/>
    <x v="1"/>
    <s v="Ana"/>
    <n v="8"/>
    <n v="377.96"/>
    <x v="4"/>
    <s v="Loja"/>
    <n v="3023.68"/>
    <n v="377.96"/>
    <x v="12"/>
  </r>
  <r>
    <d v="2024-01-24T00:00:00"/>
    <s v="Material Revisão"/>
    <x v="0"/>
    <s v="Bruno"/>
    <n v="9"/>
    <n v="284.69"/>
    <x v="1"/>
    <s v="Indicação"/>
    <n v="2562.21"/>
    <n v="284.69"/>
    <x v="12"/>
  </r>
  <r>
    <d v="2024-01-25T00:00:00"/>
    <s v="Plano Premium"/>
    <x v="4"/>
    <s v="Bruno"/>
    <n v="8"/>
    <n v="327.38"/>
    <x v="0"/>
    <s v="WhatsApp"/>
    <n v="2619.04"/>
    <n v="327.38"/>
    <x v="12"/>
  </r>
  <r>
    <d v="2024-01-26T00:00:00"/>
    <s v="Material Revisão"/>
    <x v="3"/>
    <s v="Bruno"/>
    <n v="1"/>
    <n v="213.74"/>
    <x v="3"/>
    <s v="Online"/>
    <n v="213.74"/>
    <n v="213.74"/>
    <x v="12"/>
  </r>
  <r>
    <d v="2024-01-27T00:00:00"/>
    <s v="Plano Premium"/>
    <x v="3"/>
    <s v="Bruno"/>
    <n v="3"/>
    <n v="370.7"/>
    <x v="2"/>
    <s v="Online"/>
    <n v="1112.0999999999999"/>
    <n v="370.7"/>
    <x v="12"/>
  </r>
  <r>
    <d v="2024-01-28T00:00:00"/>
    <s v="Plano Premium"/>
    <x v="3"/>
    <s v="Ana"/>
    <n v="6"/>
    <n v="394.55"/>
    <x v="3"/>
    <s v="Loja"/>
    <n v="2367.3000000000002"/>
    <n v="394.55"/>
    <x v="12"/>
  </r>
  <r>
    <d v="2024-01-29T00:00:00"/>
    <s v="Plano Premium"/>
    <x v="3"/>
    <s v="Eduarda"/>
    <n v="3"/>
    <n v="120.95"/>
    <x v="0"/>
    <s v="WhatsApp"/>
    <n v="362.85"/>
    <n v="120.95"/>
    <x v="12"/>
  </r>
  <r>
    <d v="2024-01-30T00:00:00"/>
    <s v="Plano Premium"/>
    <x v="3"/>
    <s v="Eduarda"/>
    <n v="6"/>
    <n v="73.400000000000006"/>
    <x v="2"/>
    <s v="Indicação"/>
    <n v="440.4"/>
    <n v="73.399999999999991"/>
    <x v="12"/>
  </r>
  <r>
    <d v="2024-01-31T00:00:00"/>
    <s v="Material Revisão"/>
    <x v="1"/>
    <s v="Eduarda"/>
    <n v="4"/>
    <n v="226.45"/>
    <x v="0"/>
    <s v="Loja"/>
    <n v="905.8"/>
    <n v="226.45"/>
    <x v="12"/>
  </r>
  <r>
    <d v="2024-02-01T00:00:00"/>
    <s v="Plano Premium"/>
    <x v="3"/>
    <s v="Bruno"/>
    <n v="2"/>
    <n v="80.55"/>
    <x v="4"/>
    <s v="Online"/>
    <n v="161.1"/>
    <n v="80.55"/>
    <x v="13"/>
  </r>
  <r>
    <d v="2024-02-02T00:00:00"/>
    <s v="Curso ENEM"/>
    <x v="1"/>
    <s v="Ana"/>
    <n v="6"/>
    <n v="436.86"/>
    <x v="2"/>
    <s v="Indicação"/>
    <n v="2621.16"/>
    <n v="436.85999999999996"/>
    <x v="13"/>
  </r>
  <r>
    <d v="2024-02-03T00:00:00"/>
    <s v="Material Revisão"/>
    <x v="4"/>
    <s v="Diego"/>
    <n v="7"/>
    <n v="244.88"/>
    <x v="4"/>
    <s v="Indicação"/>
    <n v="1714.16"/>
    <n v="244.88000000000002"/>
    <x v="13"/>
  </r>
  <r>
    <d v="2024-02-05T00:00:00"/>
    <s v="Material Revisão"/>
    <x v="3"/>
    <s v="Bruno"/>
    <n v="5"/>
    <n v="169.92"/>
    <x v="1"/>
    <s v="Loja"/>
    <n v="849.59999999999991"/>
    <n v="169.92"/>
    <x v="13"/>
  </r>
  <r>
    <d v="2024-02-06T00:00:00"/>
    <s v="Curso ENEM"/>
    <x v="2"/>
    <s v="Bruno"/>
    <n v="8"/>
    <n v="352.35"/>
    <x v="3"/>
    <s v="WhatsApp"/>
    <n v="2818.8"/>
    <n v="352.35"/>
    <x v="13"/>
  </r>
  <r>
    <d v="2024-02-07T00:00:00"/>
    <s v="Mentoria ENEM"/>
    <x v="4"/>
    <s v="Eduarda"/>
    <n v="6"/>
    <n v="488.82"/>
    <x v="1"/>
    <s v="WhatsApp"/>
    <n v="2932.92"/>
    <n v="488.82"/>
    <x v="13"/>
  </r>
  <r>
    <d v="2024-02-08T00:00:00"/>
    <s v="Plano Premium"/>
    <x v="3"/>
    <s v="Eduarda"/>
    <n v="8"/>
    <n v="497.47"/>
    <x v="2"/>
    <s v="WhatsApp"/>
    <n v="3979.76"/>
    <n v="497.47"/>
    <x v="13"/>
  </r>
  <r>
    <d v="2024-02-09T00:00:00"/>
    <s v="Mentoria ENEM"/>
    <x v="1"/>
    <s v="Eduarda"/>
    <n v="5"/>
    <n v="26.33"/>
    <x v="1"/>
    <s v="WhatsApp"/>
    <n v="131.65"/>
    <n v="26.330000000000002"/>
    <x v="13"/>
  </r>
  <r>
    <d v="2024-02-10T00:00:00"/>
    <s v="Simulado Pro"/>
    <x v="4"/>
    <s v="Bruno"/>
    <n v="5"/>
    <n v="48.38"/>
    <x v="4"/>
    <s v="Online"/>
    <n v="241.9"/>
    <n v="48.38"/>
    <x v="13"/>
  </r>
  <r>
    <d v="2024-02-11T00:00:00"/>
    <s v="Plano Premium"/>
    <x v="4"/>
    <s v="Diego"/>
    <n v="1"/>
    <n v="423.28"/>
    <x v="3"/>
    <s v="Online"/>
    <n v="423.28"/>
    <n v="423.28"/>
    <x v="13"/>
  </r>
  <r>
    <d v="2024-02-12T00:00:00"/>
    <s v="Material Revisão"/>
    <x v="4"/>
    <s v="Carla"/>
    <n v="1"/>
    <n v="287.88"/>
    <x v="3"/>
    <s v="WhatsApp"/>
    <n v="287.88"/>
    <n v="287.88"/>
    <x v="13"/>
  </r>
  <r>
    <d v="2024-02-13T00:00:00"/>
    <s v="Mentoria ENEM"/>
    <x v="0"/>
    <s v="Eduarda"/>
    <n v="7"/>
    <n v="49.32"/>
    <x v="0"/>
    <s v="Loja"/>
    <n v="345.24"/>
    <n v="49.32"/>
    <x v="13"/>
  </r>
  <r>
    <d v="2024-02-14T00:00:00"/>
    <s v="Mentoria ENEM"/>
    <x v="3"/>
    <s v="Diego"/>
    <n v="3"/>
    <n v="239.02"/>
    <x v="2"/>
    <s v="WhatsApp"/>
    <n v="717.06000000000006"/>
    <n v="239.02"/>
    <x v="13"/>
  </r>
  <r>
    <d v="2024-02-16T00:00:00"/>
    <s v="Mentoria ENEM"/>
    <x v="0"/>
    <s v="Eduarda"/>
    <n v="5"/>
    <n v="306.62"/>
    <x v="2"/>
    <s v="Loja"/>
    <n v="1533.1"/>
    <n v="306.62"/>
    <x v="13"/>
  </r>
  <r>
    <d v="2024-02-17T00:00:00"/>
    <s v="Simulado Pro"/>
    <x v="4"/>
    <s v="Ana"/>
    <n v="1"/>
    <n v="32.869999999999997"/>
    <x v="4"/>
    <s v="Indicação"/>
    <n v="32.869999999999997"/>
    <n v="32.869999999999997"/>
    <x v="13"/>
  </r>
  <r>
    <d v="2024-02-18T00:00:00"/>
    <s v="Simulado Pro"/>
    <x v="3"/>
    <s v="Bruno"/>
    <n v="9"/>
    <n v="193.99"/>
    <x v="3"/>
    <s v="Indicação"/>
    <n v="1745.91"/>
    <n v="193.99"/>
    <x v="13"/>
  </r>
  <r>
    <d v="2024-02-19T00:00:00"/>
    <s v="Mentoria ENEM"/>
    <x v="3"/>
    <s v="Diego"/>
    <n v="5"/>
    <n v="342.81"/>
    <x v="2"/>
    <s v="WhatsApp"/>
    <n v="1714.05"/>
    <n v="342.81"/>
    <x v="13"/>
  </r>
  <r>
    <d v="2024-02-20T00:00:00"/>
    <s v="Curso ENEM"/>
    <x v="3"/>
    <s v="Eduarda"/>
    <n v="6"/>
    <n v="345.75"/>
    <x v="3"/>
    <s v="WhatsApp"/>
    <n v="2074.5"/>
    <n v="345.75"/>
    <x v="13"/>
  </r>
  <r>
    <d v="2024-02-21T00:00:00"/>
    <s v="Plano Premium"/>
    <x v="3"/>
    <s v="Carla"/>
    <n v="5"/>
    <n v="413.93"/>
    <x v="1"/>
    <s v="Indicação"/>
    <n v="2069.65"/>
    <n v="413.93"/>
    <x v="13"/>
  </r>
  <r>
    <d v="2024-02-22T00:00:00"/>
    <s v="Material Revisão"/>
    <x v="1"/>
    <s v="Diego"/>
    <n v="3"/>
    <n v="261.52999999999997"/>
    <x v="3"/>
    <s v="Indicação"/>
    <n v="784.58999999999992"/>
    <n v="261.52999999999997"/>
    <x v="13"/>
  </r>
  <r>
    <d v="2024-02-23T00:00:00"/>
    <s v="Simulado Pro"/>
    <x v="3"/>
    <s v="Bruno"/>
    <n v="2"/>
    <n v="148.91999999999999"/>
    <x v="2"/>
    <s v="WhatsApp"/>
    <n v="297.83999999999997"/>
    <n v="148.91999999999999"/>
    <x v="13"/>
  </r>
  <r>
    <d v="2024-02-24T00:00:00"/>
    <s v="Simulado Pro"/>
    <x v="1"/>
    <s v="Diego"/>
    <n v="1"/>
    <n v="270.14"/>
    <x v="2"/>
    <s v="Indicação"/>
    <n v="270.14"/>
    <n v="270.14"/>
    <x v="13"/>
  </r>
  <r>
    <d v="2024-02-25T00:00:00"/>
    <s v="Material Revisão"/>
    <x v="4"/>
    <s v="Ana"/>
    <n v="9"/>
    <n v="298.62"/>
    <x v="4"/>
    <s v="WhatsApp"/>
    <n v="2687.58"/>
    <n v="298.62"/>
    <x v="13"/>
  </r>
  <r>
    <d v="2024-02-26T00:00:00"/>
    <s v="Simulado Pro"/>
    <x v="4"/>
    <s v="Ana"/>
    <n v="4"/>
    <n v="132.51"/>
    <x v="1"/>
    <s v="WhatsApp"/>
    <n v="530.04"/>
    <n v="132.51"/>
    <x v="13"/>
  </r>
  <r>
    <d v="2024-02-28T00:00:00"/>
    <s v="Curso ENEM"/>
    <x v="2"/>
    <s v="Diego"/>
    <n v="1"/>
    <n v="313.99"/>
    <x v="2"/>
    <s v="Indicação"/>
    <n v="313.99"/>
    <n v="313.99"/>
    <x v="13"/>
  </r>
  <r>
    <d v="2024-02-29T00:00:00"/>
    <s v="Mentoria ENEM"/>
    <x v="3"/>
    <s v="Ana"/>
    <n v="8"/>
    <n v="196.31"/>
    <x v="0"/>
    <s v="Loja"/>
    <n v="1570.48"/>
    <n v="196.31"/>
    <x v="13"/>
  </r>
  <r>
    <d v="2024-03-01T00:00:00"/>
    <s v="Simulado Pro"/>
    <x v="4"/>
    <s v="Bruno"/>
    <n v="6"/>
    <n v="429.62"/>
    <x v="3"/>
    <s v="Loja"/>
    <n v="2577.7199999999998"/>
    <n v="429.61999999999995"/>
    <x v="14"/>
  </r>
  <r>
    <d v="2024-03-02T00:00:00"/>
    <s v="Plano Premium"/>
    <x v="4"/>
    <s v="Ana"/>
    <n v="8"/>
    <n v="249.43"/>
    <x v="2"/>
    <s v="WhatsApp"/>
    <n v="1995.44"/>
    <n v="249.43"/>
    <x v="14"/>
  </r>
  <r>
    <d v="2024-03-03T00:00:00"/>
    <s v="Simulado Pro"/>
    <x v="2"/>
    <s v="Eduarda"/>
    <n v="4"/>
    <n v="84.73"/>
    <x v="0"/>
    <s v="Indicação"/>
    <n v="338.92"/>
    <n v="84.73"/>
    <x v="14"/>
  </r>
  <r>
    <d v="2024-03-04T00:00:00"/>
    <s v="Plano Premium"/>
    <x v="0"/>
    <s v="Bruno"/>
    <n v="2"/>
    <n v="159.85"/>
    <x v="0"/>
    <s v="WhatsApp"/>
    <n v="319.7"/>
    <n v="159.85"/>
    <x v="14"/>
  </r>
  <r>
    <d v="2024-03-05T00:00:00"/>
    <s v="Simulado Pro"/>
    <x v="0"/>
    <s v="Eduarda"/>
    <n v="9"/>
    <n v="186.38"/>
    <x v="3"/>
    <s v="Online"/>
    <n v="1677.42"/>
    <n v="186.38"/>
    <x v="14"/>
  </r>
  <r>
    <d v="2024-03-06T00:00:00"/>
    <s v="Mentoria ENEM"/>
    <x v="4"/>
    <s v="Ana"/>
    <n v="9"/>
    <n v="483.55"/>
    <x v="3"/>
    <s v="Indicação"/>
    <n v="4351.95"/>
    <n v="483.54999999999995"/>
    <x v="14"/>
  </r>
  <r>
    <d v="2024-03-07T00:00:00"/>
    <s v="Material Revisão"/>
    <x v="2"/>
    <s v="Bruno"/>
    <n v="4"/>
    <n v="335.51"/>
    <x v="2"/>
    <s v="Indicação"/>
    <n v="1342.04"/>
    <n v="335.51"/>
    <x v="14"/>
  </r>
  <r>
    <d v="2024-03-08T00:00:00"/>
    <s v="Simulado Pro"/>
    <x v="4"/>
    <s v="Ana"/>
    <n v="1"/>
    <n v="192.6"/>
    <x v="4"/>
    <s v="Loja"/>
    <n v="192.6"/>
    <n v="192.6"/>
    <x v="14"/>
  </r>
  <r>
    <d v="2024-03-10T00:00:00"/>
    <s v="Mentoria ENEM"/>
    <x v="0"/>
    <s v="Carla"/>
    <n v="9"/>
    <n v="478.2"/>
    <x v="1"/>
    <s v="Online"/>
    <n v="4303.8"/>
    <n v="478.20000000000005"/>
    <x v="14"/>
  </r>
  <r>
    <d v="2024-03-11T00:00:00"/>
    <s v="Curso ENEM"/>
    <x v="4"/>
    <s v="Ana"/>
    <n v="6"/>
    <n v="219.06"/>
    <x v="0"/>
    <s v="Indicação"/>
    <n v="1314.36"/>
    <n v="219.05999999999997"/>
    <x v="14"/>
  </r>
  <r>
    <d v="2024-03-12T00:00:00"/>
    <s v="Mentoria ENEM"/>
    <x v="1"/>
    <s v="Carla"/>
    <n v="2"/>
    <n v="399.15"/>
    <x v="1"/>
    <s v="Indicação"/>
    <n v="798.3"/>
    <n v="399.15"/>
    <x v="14"/>
  </r>
  <r>
    <d v="2024-03-13T00:00:00"/>
    <s v="Mentoria ENEM"/>
    <x v="0"/>
    <s v="Bruno"/>
    <n v="9"/>
    <n v="428.03"/>
    <x v="2"/>
    <s v="Online"/>
    <n v="3852.27"/>
    <n v="428.03"/>
    <x v="14"/>
  </r>
  <r>
    <d v="2024-03-14T00:00:00"/>
    <s v="Simulado Pro"/>
    <x v="3"/>
    <s v="Bruno"/>
    <n v="3"/>
    <n v="481.97"/>
    <x v="4"/>
    <s v="Loja"/>
    <n v="1445.91"/>
    <n v="481.97"/>
    <x v="14"/>
  </r>
  <r>
    <d v="2024-03-15T00:00:00"/>
    <s v="Curso ENEM"/>
    <x v="3"/>
    <s v="Diego"/>
    <n v="9"/>
    <n v="345"/>
    <x v="2"/>
    <s v="WhatsApp"/>
    <n v="3105"/>
    <n v="345"/>
    <x v="14"/>
  </r>
  <r>
    <d v="2024-03-16T00:00:00"/>
    <s v="Material Revisão"/>
    <x v="1"/>
    <s v="Eduarda"/>
    <n v="5"/>
    <n v="352.91"/>
    <x v="4"/>
    <s v="WhatsApp"/>
    <n v="1764.55"/>
    <n v="352.90999999999997"/>
    <x v="14"/>
  </r>
  <r>
    <d v="2024-03-17T00:00:00"/>
    <s v="Curso ENEM"/>
    <x v="3"/>
    <s v="Bruno"/>
    <n v="8"/>
    <n v="52.31"/>
    <x v="1"/>
    <s v="WhatsApp"/>
    <n v="418.48"/>
    <n v="52.31"/>
    <x v="14"/>
  </r>
  <r>
    <d v="2024-03-18T00:00:00"/>
    <s v="Simulado Pro"/>
    <x v="3"/>
    <s v="Eduarda"/>
    <n v="7"/>
    <n v="264.31"/>
    <x v="4"/>
    <s v="Indicação"/>
    <n v="1850.17"/>
    <n v="264.31"/>
    <x v="14"/>
  </r>
  <r>
    <d v="2024-03-19T00:00:00"/>
    <s v="Plano Premium"/>
    <x v="0"/>
    <s v="Eduarda"/>
    <n v="5"/>
    <n v="40.57"/>
    <x v="1"/>
    <s v="Loja"/>
    <n v="202.85"/>
    <n v="40.57"/>
    <x v="14"/>
  </r>
  <r>
    <d v="2024-03-21T00:00:00"/>
    <s v="Plano Premium"/>
    <x v="0"/>
    <s v="Ana"/>
    <n v="8"/>
    <n v="132.94"/>
    <x v="1"/>
    <s v="Loja"/>
    <n v="1063.52"/>
    <n v="132.94"/>
    <x v="14"/>
  </r>
  <r>
    <d v="2024-03-22T00:00:00"/>
    <s v="Simulado Pro"/>
    <x v="0"/>
    <s v="Diego"/>
    <n v="6"/>
    <n v="121.68"/>
    <x v="1"/>
    <s v="Loja"/>
    <n v="730.08"/>
    <n v="121.68"/>
    <x v="14"/>
  </r>
  <r>
    <d v="2024-03-23T00:00:00"/>
    <s v="Mentoria ENEM"/>
    <x v="1"/>
    <s v="Ana"/>
    <n v="7"/>
    <n v="332.59"/>
    <x v="0"/>
    <s v="Indicação"/>
    <n v="2328.13"/>
    <n v="332.59000000000003"/>
    <x v="14"/>
  </r>
  <r>
    <d v="2024-03-24T00:00:00"/>
    <s v="Mentoria ENEM"/>
    <x v="2"/>
    <s v="Carla"/>
    <n v="2"/>
    <n v="246.64"/>
    <x v="2"/>
    <s v="Loja"/>
    <n v="493.28"/>
    <n v="246.64"/>
    <x v="14"/>
  </r>
  <r>
    <d v="2024-03-25T00:00:00"/>
    <s v="Mentoria ENEM"/>
    <x v="0"/>
    <s v="Carla"/>
    <n v="1"/>
    <n v="138.18"/>
    <x v="1"/>
    <s v="WhatsApp"/>
    <n v="138.18"/>
    <n v="138.18"/>
    <x v="14"/>
  </r>
  <r>
    <d v="2024-03-26T00:00:00"/>
    <s v="Plano Premium"/>
    <x v="0"/>
    <s v="Diego"/>
    <n v="4"/>
    <n v="273.49"/>
    <x v="4"/>
    <s v="WhatsApp"/>
    <n v="1093.96"/>
    <n v="273.49"/>
    <x v="14"/>
  </r>
  <r>
    <d v="2024-03-27T00:00:00"/>
    <s v="Material Revisão"/>
    <x v="1"/>
    <s v="Bruno"/>
    <n v="1"/>
    <n v="333.65"/>
    <x v="1"/>
    <s v="Online"/>
    <n v="333.65"/>
    <n v="333.65"/>
    <x v="14"/>
  </r>
  <r>
    <d v="2024-03-28T00:00:00"/>
    <s v="Mentoria ENEM"/>
    <x v="3"/>
    <s v="Bruno"/>
    <n v="7"/>
    <n v="479.99"/>
    <x v="3"/>
    <s v="Loja"/>
    <n v="3359.93"/>
    <n v="479.98999999999995"/>
    <x v="14"/>
  </r>
  <r>
    <d v="2024-03-29T00:00:00"/>
    <s v="Curso ENEM"/>
    <x v="0"/>
    <s v="Eduarda"/>
    <n v="2"/>
    <n v="99.7"/>
    <x v="4"/>
    <s v="Indicação"/>
    <n v="199.4"/>
    <n v="99.7"/>
    <x v="14"/>
  </r>
  <r>
    <d v="2024-03-30T00:00:00"/>
    <s v="Plano Premium"/>
    <x v="2"/>
    <s v="Ana"/>
    <n v="9"/>
    <n v="246.86"/>
    <x v="0"/>
    <s v="Online"/>
    <n v="2221.7399999999998"/>
    <n v="246.85999999999999"/>
    <x v="14"/>
  </r>
  <r>
    <d v="2024-03-31T00:00:00"/>
    <s v="Simulado Pro"/>
    <x v="4"/>
    <s v="Bruno"/>
    <n v="9"/>
    <n v="201.02"/>
    <x v="1"/>
    <s v="Loja"/>
    <n v="1809.18"/>
    <n v="201.02"/>
    <x v="14"/>
  </r>
  <r>
    <d v="2024-04-02T00:00:00"/>
    <s v="Simulado Pro"/>
    <x v="2"/>
    <s v="Diego"/>
    <n v="9"/>
    <n v="200.5"/>
    <x v="1"/>
    <s v="Indicação"/>
    <n v="1804.5"/>
    <n v="200.5"/>
    <x v="15"/>
  </r>
  <r>
    <d v="2024-04-03T00:00:00"/>
    <s v="Plano Premium"/>
    <x v="4"/>
    <s v="Bruno"/>
    <n v="5"/>
    <n v="270.72000000000003"/>
    <x v="3"/>
    <s v="WhatsApp"/>
    <n v="1353.6"/>
    <n v="270.71999999999997"/>
    <x v="15"/>
  </r>
  <r>
    <d v="2024-04-04T00:00:00"/>
    <s v="Simulado Pro"/>
    <x v="0"/>
    <s v="Diego"/>
    <n v="4"/>
    <n v="343.13"/>
    <x v="3"/>
    <s v="Online"/>
    <n v="1372.52"/>
    <n v="343.13"/>
    <x v="15"/>
  </r>
  <r>
    <d v="2024-04-05T00:00:00"/>
    <s v="Mentoria ENEM"/>
    <x v="3"/>
    <s v="Carla"/>
    <n v="7"/>
    <n v="239.02"/>
    <x v="4"/>
    <s v="WhatsApp"/>
    <n v="1673.14"/>
    <n v="239.02"/>
    <x v="15"/>
  </r>
  <r>
    <d v="2024-04-06T00:00:00"/>
    <s v="Material Revisão"/>
    <x v="3"/>
    <s v="Eduarda"/>
    <n v="6"/>
    <n v="170.94"/>
    <x v="3"/>
    <s v="WhatsApp"/>
    <n v="1025.6400000000001"/>
    <n v="170.94000000000003"/>
    <x v="15"/>
  </r>
  <r>
    <d v="2024-04-07T00:00:00"/>
    <s v="Mentoria ENEM"/>
    <x v="0"/>
    <s v="Diego"/>
    <n v="4"/>
    <n v="269.2"/>
    <x v="3"/>
    <s v="WhatsApp"/>
    <n v="1076.8"/>
    <n v="269.2"/>
    <x v="15"/>
  </r>
  <r>
    <d v="2024-04-08T00:00:00"/>
    <s v="Plano Premium"/>
    <x v="0"/>
    <s v="Diego"/>
    <n v="8"/>
    <n v="283.57"/>
    <x v="1"/>
    <s v="Indicação"/>
    <n v="2268.56"/>
    <n v="283.57"/>
    <x v="15"/>
  </r>
  <r>
    <d v="2024-04-09T00:00:00"/>
    <s v="Material Revisão"/>
    <x v="3"/>
    <s v="Eduarda"/>
    <n v="3"/>
    <n v="260.10000000000002"/>
    <x v="0"/>
    <s v="Online"/>
    <n v="780.30000000000007"/>
    <n v="260.10000000000002"/>
    <x v="15"/>
  </r>
  <r>
    <d v="2024-04-10T00:00:00"/>
    <s v="Mentoria ENEM"/>
    <x v="2"/>
    <s v="Eduarda"/>
    <n v="1"/>
    <n v="232.7"/>
    <x v="0"/>
    <s v="Loja"/>
    <n v="232.7"/>
    <n v="232.7"/>
    <x v="15"/>
  </r>
  <r>
    <d v="2024-04-11T00:00:00"/>
    <s v="Material Revisão"/>
    <x v="1"/>
    <s v="Eduarda"/>
    <n v="9"/>
    <n v="331.38"/>
    <x v="2"/>
    <s v="Online"/>
    <n v="2982.42"/>
    <n v="331.38"/>
    <x v="15"/>
  </r>
  <r>
    <d v="2024-04-13T00:00:00"/>
    <s v="Mentoria ENEM"/>
    <x v="2"/>
    <s v="Ana"/>
    <n v="6"/>
    <n v="189.06"/>
    <x v="0"/>
    <s v="WhatsApp"/>
    <n v="1134.3599999999999"/>
    <n v="189.05999999999997"/>
    <x v="15"/>
  </r>
  <r>
    <d v="2024-04-14T00:00:00"/>
    <s v="Material Revisão"/>
    <x v="0"/>
    <s v="Carla"/>
    <n v="2"/>
    <n v="244.96"/>
    <x v="2"/>
    <s v="Loja"/>
    <n v="489.92"/>
    <n v="244.96"/>
    <x v="15"/>
  </r>
  <r>
    <d v="2024-04-15T00:00:00"/>
    <s v="Material Revisão"/>
    <x v="4"/>
    <s v="Carla"/>
    <n v="1"/>
    <n v="453.21"/>
    <x v="1"/>
    <s v="Online"/>
    <n v="453.21"/>
    <n v="453.21"/>
    <x v="15"/>
  </r>
  <r>
    <d v="2024-04-16T00:00:00"/>
    <s v="Plano Premium"/>
    <x v="2"/>
    <s v="Bruno"/>
    <n v="8"/>
    <n v="335.96"/>
    <x v="1"/>
    <s v="Loja"/>
    <n v="2687.68"/>
    <n v="335.96"/>
    <x v="15"/>
  </r>
  <r>
    <d v="2024-04-17T00:00:00"/>
    <s v="Curso ENEM"/>
    <x v="4"/>
    <s v="Eduarda"/>
    <n v="9"/>
    <n v="88.73"/>
    <x v="1"/>
    <s v="WhatsApp"/>
    <n v="798.57"/>
    <n v="88.73"/>
    <x v="15"/>
  </r>
  <r>
    <d v="2024-04-18T00:00:00"/>
    <s v="Mentoria ENEM"/>
    <x v="4"/>
    <s v="Carla"/>
    <n v="1"/>
    <n v="336.71"/>
    <x v="1"/>
    <s v="Loja"/>
    <n v="336.71"/>
    <n v="336.71"/>
    <x v="15"/>
  </r>
  <r>
    <d v="2024-04-19T00:00:00"/>
    <s v="Material Revisão"/>
    <x v="2"/>
    <s v="Eduarda"/>
    <n v="3"/>
    <n v="435.31"/>
    <x v="3"/>
    <s v="Loja"/>
    <n v="1305.93"/>
    <n v="435.31"/>
    <x v="15"/>
  </r>
  <r>
    <d v="2024-04-20T00:00:00"/>
    <s v="Plano Premium"/>
    <x v="1"/>
    <s v="Eduarda"/>
    <n v="2"/>
    <n v="322.08999999999997"/>
    <x v="3"/>
    <s v="Loja"/>
    <n v="644.17999999999995"/>
    <n v="322.08999999999997"/>
    <x v="15"/>
  </r>
  <r>
    <d v="2024-04-21T00:00:00"/>
    <s v="Mentoria ENEM"/>
    <x v="4"/>
    <s v="Ana"/>
    <n v="3"/>
    <n v="432.14"/>
    <x v="3"/>
    <s v="WhatsApp"/>
    <n v="1296.42"/>
    <n v="432.14000000000004"/>
    <x v="15"/>
  </r>
  <r>
    <d v="2024-04-22T00:00:00"/>
    <s v="Material Revisão"/>
    <x v="4"/>
    <s v="Carla"/>
    <n v="4"/>
    <n v="124.17"/>
    <x v="2"/>
    <s v="WhatsApp"/>
    <n v="496.68"/>
    <n v="124.17"/>
    <x v="15"/>
  </r>
  <r>
    <d v="2024-04-23T00:00:00"/>
    <s v="Plano Premium"/>
    <x v="4"/>
    <s v="Eduarda"/>
    <n v="6"/>
    <n v="453.04"/>
    <x v="0"/>
    <s v="Online"/>
    <n v="2718.24"/>
    <n v="453.03999999999996"/>
    <x v="15"/>
  </r>
  <r>
    <d v="2024-04-25T00:00:00"/>
    <s v="Mentoria ENEM"/>
    <x v="3"/>
    <s v="Ana"/>
    <n v="5"/>
    <n v="171.86"/>
    <x v="2"/>
    <s v="Online"/>
    <n v="859.30000000000007"/>
    <n v="171.86"/>
    <x v="15"/>
  </r>
  <r>
    <d v="2024-04-26T00:00:00"/>
    <s v="Curso ENEM"/>
    <x v="4"/>
    <s v="Carla"/>
    <n v="9"/>
    <n v="452.45"/>
    <x v="4"/>
    <s v="WhatsApp"/>
    <n v="4072.05"/>
    <n v="452.45000000000005"/>
    <x v="15"/>
  </r>
  <r>
    <d v="2024-04-27T00:00:00"/>
    <s v="Plano Premium"/>
    <x v="4"/>
    <s v="Eduarda"/>
    <n v="2"/>
    <n v="108.31"/>
    <x v="3"/>
    <s v="Indicação"/>
    <n v="216.62"/>
    <n v="108.31"/>
    <x v="15"/>
  </r>
  <r>
    <d v="2024-04-28T00:00:00"/>
    <s v="Curso ENEM"/>
    <x v="4"/>
    <s v="Ana"/>
    <n v="4"/>
    <n v="339.41"/>
    <x v="3"/>
    <s v="Loja"/>
    <n v="1357.64"/>
    <n v="339.41"/>
    <x v="15"/>
  </r>
  <r>
    <d v="2024-04-29T00:00:00"/>
    <s v="Curso ENEM"/>
    <x v="1"/>
    <s v="Bruno"/>
    <n v="5"/>
    <n v="90.97"/>
    <x v="4"/>
    <s v="Indicação"/>
    <n v="454.85"/>
    <n v="90.97"/>
    <x v="15"/>
  </r>
  <r>
    <d v="2024-04-30T00:00:00"/>
    <s v="Material Revisão"/>
    <x v="0"/>
    <s v="Carla"/>
    <n v="6"/>
    <n v="204.67"/>
    <x v="0"/>
    <s v="WhatsApp"/>
    <n v="1228.02"/>
    <n v="204.67"/>
    <x v="15"/>
  </r>
  <r>
    <d v="2024-05-01T00:00:00"/>
    <s v="Curso ENEM"/>
    <x v="0"/>
    <s v="Eduarda"/>
    <n v="4"/>
    <n v="309.52999999999997"/>
    <x v="4"/>
    <s v="Loja"/>
    <n v="1238.1199999999999"/>
    <n v="309.52999999999997"/>
    <x v="16"/>
  </r>
  <r>
    <d v="2024-05-02T00:00:00"/>
    <s v="Mentoria ENEM"/>
    <x v="0"/>
    <s v="Diego"/>
    <n v="2"/>
    <n v="467.64"/>
    <x v="1"/>
    <s v="Loja"/>
    <n v="935.28"/>
    <n v="467.64"/>
    <x v="16"/>
  </r>
  <r>
    <d v="2024-05-03T00:00:00"/>
    <s v="Material Revisão"/>
    <x v="0"/>
    <s v="Bruno"/>
    <n v="7"/>
    <n v="458.68"/>
    <x v="0"/>
    <s v="WhatsApp"/>
    <n v="3210.76"/>
    <n v="458.68"/>
    <x v="16"/>
  </r>
  <r>
    <d v="2024-05-04T00:00:00"/>
    <s v="Simulado Pro"/>
    <x v="3"/>
    <s v="Eduarda"/>
    <n v="8"/>
    <n v="353.31"/>
    <x v="4"/>
    <s v="Indicação"/>
    <n v="2826.48"/>
    <n v="353.31"/>
    <x v="16"/>
  </r>
  <r>
    <d v="2024-05-06T00:00:00"/>
    <s v="Curso ENEM"/>
    <x v="4"/>
    <s v="Carla"/>
    <n v="8"/>
    <n v="64.599999999999994"/>
    <x v="4"/>
    <s v="Indicação"/>
    <n v="516.79999999999995"/>
    <n v="64.599999999999994"/>
    <x v="16"/>
  </r>
  <r>
    <d v="2024-05-07T00:00:00"/>
    <s v="Mentoria ENEM"/>
    <x v="0"/>
    <s v="Eduarda"/>
    <n v="4"/>
    <n v="113.89"/>
    <x v="2"/>
    <s v="Indicação"/>
    <n v="455.56"/>
    <n v="113.89"/>
    <x v="16"/>
  </r>
  <r>
    <d v="2024-05-08T00:00:00"/>
    <s v="Curso ENEM"/>
    <x v="3"/>
    <s v="Ana"/>
    <n v="3"/>
    <n v="300.58"/>
    <x v="4"/>
    <s v="Indicação"/>
    <n v="901.74"/>
    <n v="300.58"/>
    <x v="16"/>
  </r>
  <r>
    <d v="2024-05-09T00:00:00"/>
    <s v="Mentoria ENEM"/>
    <x v="2"/>
    <s v="Carla"/>
    <n v="1"/>
    <n v="230.65"/>
    <x v="3"/>
    <s v="WhatsApp"/>
    <n v="230.65"/>
    <n v="230.65"/>
    <x v="16"/>
  </r>
  <r>
    <d v="2024-05-10T00:00:00"/>
    <s v="Simulado Pro"/>
    <x v="0"/>
    <s v="Diego"/>
    <n v="1"/>
    <n v="213.68"/>
    <x v="3"/>
    <s v="WhatsApp"/>
    <n v="213.68"/>
    <n v="213.68"/>
    <x v="16"/>
  </r>
  <r>
    <d v="2024-05-11T00:00:00"/>
    <s v="Simulado Pro"/>
    <x v="3"/>
    <s v="Ana"/>
    <n v="1"/>
    <n v="361.22"/>
    <x v="3"/>
    <s v="Online"/>
    <n v="361.22"/>
    <n v="361.22"/>
    <x v="16"/>
  </r>
  <r>
    <d v="2024-05-12T00:00:00"/>
    <s v="Plano Premium"/>
    <x v="0"/>
    <s v="Carla"/>
    <n v="8"/>
    <n v="160.53"/>
    <x v="1"/>
    <s v="Online"/>
    <n v="1284.24"/>
    <n v="160.53"/>
    <x v="16"/>
  </r>
  <r>
    <d v="2024-05-13T00:00:00"/>
    <s v="Curso ENEM"/>
    <x v="0"/>
    <s v="Diego"/>
    <n v="9"/>
    <n v="36.450000000000003"/>
    <x v="4"/>
    <s v="Indicação"/>
    <n v="328.05"/>
    <n v="36.450000000000003"/>
    <x v="16"/>
  </r>
  <r>
    <d v="2024-05-14T00:00:00"/>
    <s v="Material Revisão"/>
    <x v="4"/>
    <s v="Eduarda"/>
    <n v="7"/>
    <n v="297.54000000000002"/>
    <x v="1"/>
    <s v="Online"/>
    <n v="2082.7800000000002"/>
    <n v="297.54000000000002"/>
    <x v="16"/>
  </r>
  <r>
    <d v="2024-05-15T00:00:00"/>
    <s v="Simulado Pro"/>
    <x v="1"/>
    <s v="Eduarda"/>
    <n v="4"/>
    <n v="269.31"/>
    <x v="3"/>
    <s v="Loja"/>
    <n v="1077.24"/>
    <n v="269.31"/>
    <x v="16"/>
  </r>
  <r>
    <d v="2024-05-17T00:00:00"/>
    <s v="Simulado Pro"/>
    <x v="1"/>
    <s v="Carla"/>
    <n v="2"/>
    <n v="422.4"/>
    <x v="0"/>
    <s v="Loja"/>
    <n v="844.8"/>
    <n v="422.4"/>
    <x v="16"/>
  </r>
  <r>
    <d v="2024-05-18T00:00:00"/>
    <s v="Mentoria ENEM"/>
    <x v="1"/>
    <s v="Bruno"/>
    <n v="4"/>
    <n v="381.26"/>
    <x v="3"/>
    <s v="WhatsApp"/>
    <n v="1525.04"/>
    <n v="381.26"/>
    <x v="16"/>
  </r>
  <r>
    <d v="2024-05-19T00:00:00"/>
    <s v="Material Revisão"/>
    <x v="1"/>
    <s v="Diego"/>
    <n v="6"/>
    <n v="470.78"/>
    <x v="2"/>
    <s v="Online"/>
    <n v="2824.68"/>
    <n v="470.78"/>
    <x v="16"/>
  </r>
  <r>
    <d v="2024-05-20T00:00:00"/>
    <s v="Plano Premium"/>
    <x v="3"/>
    <s v="Diego"/>
    <n v="9"/>
    <n v="195.49"/>
    <x v="1"/>
    <s v="Loja"/>
    <n v="1759.41"/>
    <n v="195.49"/>
    <x v="16"/>
  </r>
  <r>
    <d v="2024-05-21T00:00:00"/>
    <s v="Mentoria ENEM"/>
    <x v="0"/>
    <s v="Eduarda"/>
    <n v="8"/>
    <n v="62.66"/>
    <x v="0"/>
    <s v="Indicação"/>
    <n v="501.28"/>
    <n v="62.66"/>
    <x v="16"/>
  </r>
  <r>
    <d v="2024-05-22T00:00:00"/>
    <s v="Material Revisão"/>
    <x v="0"/>
    <s v="Diego"/>
    <n v="9"/>
    <n v="491.89"/>
    <x v="0"/>
    <s v="Online"/>
    <n v="4427.01"/>
    <n v="491.89000000000004"/>
    <x v="16"/>
  </r>
  <r>
    <d v="2024-05-23T00:00:00"/>
    <s v="Material Revisão"/>
    <x v="3"/>
    <s v="Ana"/>
    <n v="3"/>
    <n v="39.61"/>
    <x v="0"/>
    <s v="Loja"/>
    <n v="118.83"/>
    <n v="39.61"/>
    <x v="16"/>
  </r>
  <r>
    <d v="2024-05-24T00:00:00"/>
    <s v="Mentoria ENEM"/>
    <x v="0"/>
    <s v="Bruno"/>
    <n v="3"/>
    <n v="355.05"/>
    <x v="4"/>
    <s v="Loja"/>
    <n v="1065.1500000000001"/>
    <n v="355.05"/>
    <x v="16"/>
  </r>
  <r>
    <d v="2024-05-25T00:00:00"/>
    <s v="Simulado Pro"/>
    <x v="3"/>
    <s v="Bruno"/>
    <n v="1"/>
    <n v="183.28"/>
    <x v="2"/>
    <s v="Loja"/>
    <n v="183.28"/>
    <n v="183.28"/>
    <x v="16"/>
  </r>
  <r>
    <d v="2024-05-26T00:00:00"/>
    <s v="Mentoria ENEM"/>
    <x v="3"/>
    <s v="Bruno"/>
    <n v="8"/>
    <n v="244.72"/>
    <x v="4"/>
    <s v="Indicação"/>
    <n v="1957.76"/>
    <n v="244.72"/>
    <x v="16"/>
  </r>
  <r>
    <d v="2024-05-27T00:00:00"/>
    <s v="Plano Premium"/>
    <x v="2"/>
    <s v="Eduarda"/>
    <n v="5"/>
    <n v="43.09"/>
    <x v="2"/>
    <s v="Indicação"/>
    <n v="215.45"/>
    <n v="43.089999999999996"/>
    <x v="16"/>
  </r>
  <r>
    <d v="2024-05-29T00:00:00"/>
    <s v="Mentoria ENEM"/>
    <x v="0"/>
    <s v="Carla"/>
    <n v="4"/>
    <n v="474.02"/>
    <x v="2"/>
    <s v="Indicação"/>
    <n v="1896.08"/>
    <n v="474.02"/>
    <x v="16"/>
  </r>
  <r>
    <d v="2024-05-30T00:00:00"/>
    <s v="Material Revisão"/>
    <x v="1"/>
    <s v="Eduarda"/>
    <n v="1"/>
    <n v="231.19"/>
    <x v="0"/>
    <s v="WhatsApp"/>
    <n v="231.19"/>
    <n v="231.19"/>
    <x v="16"/>
  </r>
  <r>
    <d v="2024-05-31T00:00:00"/>
    <s v="Plano Premium"/>
    <x v="1"/>
    <s v="Carla"/>
    <n v="5"/>
    <n v="411.84"/>
    <x v="1"/>
    <s v="Online"/>
    <n v="2059.1999999999998"/>
    <n v="411.84"/>
    <x v="16"/>
  </r>
  <r>
    <d v="2024-06-01T00:00:00"/>
    <s v="Plano Premium"/>
    <x v="3"/>
    <s v="Bruno"/>
    <n v="6"/>
    <n v="218.06"/>
    <x v="3"/>
    <s v="WhatsApp"/>
    <n v="1308.3599999999999"/>
    <n v="218.05999999999997"/>
    <x v="17"/>
  </r>
  <r>
    <d v="2024-06-02T00:00:00"/>
    <s v="Plano Premium"/>
    <x v="3"/>
    <s v="Ana"/>
    <n v="2"/>
    <n v="415.84"/>
    <x v="1"/>
    <s v="Indicação"/>
    <n v="831.68"/>
    <n v="415.84"/>
    <x v="17"/>
  </r>
  <r>
    <d v="2024-06-03T00:00:00"/>
    <s v="Mentoria ENEM"/>
    <x v="3"/>
    <s v="Diego"/>
    <n v="8"/>
    <n v="85.15"/>
    <x v="2"/>
    <s v="Online"/>
    <n v="681.2"/>
    <n v="85.15"/>
    <x v="17"/>
  </r>
  <r>
    <d v="2024-06-04T00:00:00"/>
    <s v="Curso ENEM"/>
    <x v="3"/>
    <s v="Eduarda"/>
    <n v="2"/>
    <n v="34.47"/>
    <x v="2"/>
    <s v="WhatsApp"/>
    <n v="68.94"/>
    <n v="34.47"/>
    <x v="17"/>
  </r>
  <r>
    <d v="2024-06-05T00:00:00"/>
    <s v="Curso ENEM"/>
    <x v="3"/>
    <s v="Carla"/>
    <n v="3"/>
    <n v="275.95"/>
    <x v="3"/>
    <s v="Indicação"/>
    <n v="827.84999999999991"/>
    <n v="275.95"/>
    <x v="17"/>
  </r>
  <r>
    <d v="2024-06-06T00:00:00"/>
    <s v="Material Revisão"/>
    <x v="3"/>
    <s v="Bruno"/>
    <n v="6"/>
    <n v="187.07"/>
    <x v="3"/>
    <s v="WhatsApp"/>
    <n v="1122.42"/>
    <n v="187.07000000000002"/>
    <x v="17"/>
  </r>
  <r>
    <d v="2024-06-07T00:00:00"/>
    <s v="Material Revisão"/>
    <x v="2"/>
    <s v="Carla"/>
    <n v="7"/>
    <n v="282.47000000000003"/>
    <x v="0"/>
    <s v="Loja"/>
    <n v="1977.29"/>
    <n v="282.46999999999997"/>
    <x v="17"/>
  </r>
  <r>
    <d v="2024-06-09T00:00:00"/>
    <s v="Mentoria ENEM"/>
    <x v="2"/>
    <s v="Ana"/>
    <n v="6"/>
    <n v="69.680000000000007"/>
    <x v="0"/>
    <s v="Loja"/>
    <n v="418.08"/>
    <n v="69.679999999999993"/>
    <x v="17"/>
  </r>
  <r>
    <d v="2024-06-10T00:00:00"/>
    <s v="Material Revisão"/>
    <x v="1"/>
    <s v="Eduarda"/>
    <n v="5"/>
    <n v="437.07"/>
    <x v="3"/>
    <s v="Online"/>
    <n v="2185.35"/>
    <n v="437.07"/>
    <x v="17"/>
  </r>
  <r>
    <d v="2024-06-11T00:00:00"/>
    <s v="Curso ENEM"/>
    <x v="4"/>
    <s v="Ana"/>
    <n v="2"/>
    <n v="148.13"/>
    <x v="2"/>
    <s v="Online"/>
    <n v="296.26"/>
    <n v="148.13"/>
    <x v="17"/>
  </r>
  <r>
    <d v="2024-06-12T00:00:00"/>
    <s v="Mentoria ENEM"/>
    <x v="2"/>
    <s v="Diego"/>
    <n v="1"/>
    <n v="117.02"/>
    <x v="3"/>
    <s v="Loja"/>
    <n v="117.02"/>
    <n v="117.02"/>
    <x v="17"/>
  </r>
  <r>
    <d v="2024-06-13T00:00:00"/>
    <s v="Mentoria ENEM"/>
    <x v="1"/>
    <s v="Ana"/>
    <n v="9"/>
    <n v="394.96"/>
    <x v="2"/>
    <s v="Indicação"/>
    <n v="3554.64"/>
    <n v="394.96"/>
    <x v="17"/>
  </r>
  <r>
    <d v="2024-06-14T00:00:00"/>
    <s v="Plano Premium"/>
    <x v="4"/>
    <s v="Diego"/>
    <n v="5"/>
    <n v="406.87"/>
    <x v="3"/>
    <s v="WhatsApp"/>
    <n v="2034.35"/>
    <n v="406.87"/>
    <x v="17"/>
  </r>
  <r>
    <d v="2024-06-15T00:00:00"/>
    <s v="Plano Premium"/>
    <x v="4"/>
    <s v="Eduarda"/>
    <n v="5"/>
    <n v="481.92"/>
    <x v="4"/>
    <s v="Indicação"/>
    <n v="2409.6"/>
    <n v="481.91999999999996"/>
    <x v="17"/>
  </r>
  <r>
    <d v="2024-06-16T00:00:00"/>
    <s v="Plano Premium"/>
    <x v="1"/>
    <s v="Ana"/>
    <n v="6"/>
    <n v="270.33999999999997"/>
    <x v="3"/>
    <s v="Indicação"/>
    <n v="1622.04"/>
    <n v="270.33999999999997"/>
    <x v="17"/>
  </r>
  <r>
    <d v="2024-06-17T00:00:00"/>
    <s v="Mentoria ENEM"/>
    <x v="1"/>
    <s v="Diego"/>
    <n v="4"/>
    <n v="130.94"/>
    <x v="4"/>
    <s v="Loja"/>
    <n v="523.76"/>
    <n v="130.94"/>
    <x v="17"/>
  </r>
  <r>
    <d v="2024-06-18T00:00:00"/>
    <s v="Mentoria ENEM"/>
    <x v="1"/>
    <s v="Diego"/>
    <n v="6"/>
    <n v="213.7"/>
    <x v="0"/>
    <s v="Loja"/>
    <n v="1282.2"/>
    <n v="213.70000000000002"/>
    <x v="17"/>
  </r>
  <r>
    <d v="2024-06-19T00:00:00"/>
    <s v="Curso ENEM"/>
    <x v="2"/>
    <s v="Diego"/>
    <n v="5"/>
    <n v="346.46"/>
    <x v="3"/>
    <s v="Indicação"/>
    <n v="1732.3"/>
    <n v="346.46"/>
    <x v="17"/>
  </r>
  <r>
    <d v="2024-06-21T00:00:00"/>
    <s v="Mentoria ENEM"/>
    <x v="1"/>
    <s v="Eduarda"/>
    <n v="5"/>
    <n v="133.88"/>
    <x v="4"/>
    <s v="Indicação"/>
    <n v="669.4"/>
    <n v="133.88"/>
    <x v="17"/>
  </r>
  <r>
    <d v="2024-06-22T00:00:00"/>
    <s v="Material Revisão"/>
    <x v="0"/>
    <s v="Eduarda"/>
    <n v="8"/>
    <n v="448.61"/>
    <x v="2"/>
    <s v="Online"/>
    <n v="3588.88"/>
    <n v="448.61"/>
    <x v="17"/>
  </r>
  <r>
    <d v="2024-06-23T00:00:00"/>
    <s v="Plano Premium"/>
    <x v="3"/>
    <s v="Ana"/>
    <n v="7"/>
    <n v="276.66000000000003"/>
    <x v="4"/>
    <s v="WhatsApp"/>
    <n v="1936.62"/>
    <n v="276.65999999999997"/>
    <x v="17"/>
  </r>
  <r>
    <d v="2024-06-24T00:00:00"/>
    <s v="Material Revisão"/>
    <x v="0"/>
    <s v="Eduarda"/>
    <n v="5"/>
    <n v="427.94"/>
    <x v="2"/>
    <s v="Loja"/>
    <n v="2139.6999999999998"/>
    <n v="427.93999999999994"/>
    <x v="17"/>
  </r>
  <r>
    <d v="2024-06-25T00:00:00"/>
    <s v="Material Revisão"/>
    <x v="3"/>
    <s v="Eduarda"/>
    <n v="1"/>
    <n v="257.04000000000002"/>
    <x v="3"/>
    <s v="Loja"/>
    <n v="257.04000000000002"/>
    <n v="257.04000000000002"/>
    <x v="17"/>
  </r>
  <r>
    <d v="2024-06-26T00:00:00"/>
    <s v="Material Revisão"/>
    <x v="3"/>
    <s v="Diego"/>
    <n v="8"/>
    <n v="65.599999999999994"/>
    <x v="0"/>
    <s v="Indicação"/>
    <n v="524.79999999999995"/>
    <n v="65.599999999999994"/>
    <x v="17"/>
  </r>
  <r>
    <d v="2024-06-27T00:00:00"/>
    <s v="Simulado Pro"/>
    <x v="2"/>
    <s v="Eduarda"/>
    <n v="4"/>
    <n v="85.77"/>
    <x v="1"/>
    <s v="Online"/>
    <n v="343.08"/>
    <n v="85.77"/>
    <x v="17"/>
  </r>
  <r>
    <d v="2024-06-28T00:00:00"/>
    <s v="Plano Premium"/>
    <x v="2"/>
    <s v="Ana"/>
    <n v="2"/>
    <n v="406.44"/>
    <x v="3"/>
    <s v="Loja"/>
    <n v="812.88"/>
    <n v="406.44"/>
    <x v="17"/>
  </r>
  <r>
    <d v="2024-06-29T00:00:00"/>
    <s v="Curso ENEM"/>
    <x v="1"/>
    <s v="Bruno"/>
    <n v="1"/>
    <n v="391.48"/>
    <x v="2"/>
    <s v="Online"/>
    <n v="391.48"/>
    <n v="391.48"/>
    <x v="17"/>
  </r>
  <r>
    <d v="2024-06-30T00:00:00"/>
    <s v="Plano Premium"/>
    <x v="3"/>
    <s v="Eduarda"/>
    <n v="3"/>
    <n v="455.97"/>
    <x v="4"/>
    <s v="Online"/>
    <n v="1367.91"/>
    <n v="455.97"/>
    <x v="17"/>
  </r>
  <r>
    <d v="2024-07-02T00:00:00"/>
    <s v="Mentoria ENEM"/>
    <x v="0"/>
    <s v="Bruno"/>
    <n v="6"/>
    <n v="339.17"/>
    <x v="4"/>
    <s v="Loja"/>
    <n v="2035.02"/>
    <n v="339.17"/>
    <x v="18"/>
  </r>
  <r>
    <d v="2024-07-03T00:00:00"/>
    <s v="Simulado Pro"/>
    <x v="0"/>
    <s v="Diego"/>
    <n v="3"/>
    <n v="401.59"/>
    <x v="3"/>
    <s v="WhatsApp"/>
    <n v="1204.77"/>
    <n v="401.59"/>
    <x v="18"/>
  </r>
  <r>
    <d v="2024-07-04T00:00:00"/>
    <s v="Curso ENEM"/>
    <x v="4"/>
    <s v="Ana"/>
    <n v="9"/>
    <n v="53.47"/>
    <x v="2"/>
    <s v="Online"/>
    <n v="481.23"/>
    <n v="53.47"/>
    <x v="18"/>
  </r>
  <r>
    <d v="2024-07-05T00:00:00"/>
    <s v="Simulado Pro"/>
    <x v="0"/>
    <s v="Diego"/>
    <n v="8"/>
    <n v="257.55"/>
    <x v="0"/>
    <s v="Online"/>
    <n v="2060.4"/>
    <n v="257.55"/>
    <x v="18"/>
  </r>
  <r>
    <d v="2024-07-06T00:00:00"/>
    <s v="Curso ENEM"/>
    <x v="0"/>
    <s v="Diego"/>
    <n v="2"/>
    <n v="244.65"/>
    <x v="2"/>
    <s v="Indicação"/>
    <n v="489.3"/>
    <n v="244.65"/>
    <x v="18"/>
  </r>
  <r>
    <d v="2024-07-07T00:00:00"/>
    <s v="Simulado Pro"/>
    <x v="2"/>
    <s v="Ana"/>
    <n v="2"/>
    <n v="299.7"/>
    <x v="2"/>
    <s v="Loja"/>
    <n v="599.4"/>
    <n v="299.7"/>
    <x v="18"/>
  </r>
  <r>
    <d v="2024-07-08T00:00:00"/>
    <s v="Curso ENEM"/>
    <x v="0"/>
    <s v="Eduarda"/>
    <n v="3"/>
    <n v="49.95"/>
    <x v="2"/>
    <s v="Loja"/>
    <n v="149.85"/>
    <n v="49.949999999999996"/>
    <x v="18"/>
  </r>
  <r>
    <d v="2024-07-09T00:00:00"/>
    <s v="Curso ENEM"/>
    <x v="4"/>
    <s v="Ana"/>
    <n v="5"/>
    <n v="475.73"/>
    <x v="1"/>
    <s v="Indicação"/>
    <n v="2378.65"/>
    <n v="475.73"/>
    <x v="18"/>
  </r>
  <r>
    <d v="2024-07-10T00:00:00"/>
    <s v="Curso ENEM"/>
    <x v="4"/>
    <s v="Bruno"/>
    <n v="8"/>
    <n v="185.03"/>
    <x v="2"/>
    <s v="Online"/>
    <n v="1480.24"/>
    <n v="185.03"/>
    <x v="18"/>
  </r>
  <r>
    <d v="2024-07-11T00:00:00"/>
    <s v="Plano Premium"/>
    <x v="3"/>
    <s v="Carla"/>
    <n v="8"/>
    <n v="225.24"/>
    <x v="4"/>
    <s v="Online"/>
    <n v="1801.92"/>
    <n v="225.24"/>
    <x v="18"/>
  </r>
  <r>
    <d v="2024-07-13T00:00:00"/>
    <s v="Mentoria ENEM"/>
    <x v="1"/>
    <s v="Bruno"/>
    <n v="9"/>
    <n v="37.86"/>
    <x v="4"/>
    <s v="Indicação"/>
    <n v="340.74"/>
    <n v="37.86"/>
    <x v="18"/>
  </r>
  <r>
    <d v="2024-07-14T00:00:00"/>
    <s v="Mentoria ENEM"/>
    <x v="2"/>
    <s v="Ana"/>
    <n v="7"/>
    <n v="149.21"/>
    <x v="2"/>
    <s v="Loja"/>
    <n v="1044.47"/>
    <n v="149.21"/>
    <x v="18"/>
  </r>
  <r>
    <d v="2024-07-15T00:00:00"/>
    <s v="Material Revisão"/>
    <x v="2"/>
    <s v="Bruno"/>
    <n v="6"/>
    <n v="45.15"/>
    <x v="3"/>
    <s v="WhatsApp"/>
    <n v="270.89999999999998"/>
    <n v="45.15"/>
    <x v="18"/>
  </r>
  <r>
    <d v="2024-07-16T00:00:00"/>
    <s v="Plano Premium"/>
    <x v="2"/>
    <s v="Carla"/>
    <n v="3"/>
    <n v="22.5"/>
    <x v="4"/>
    <s v="Online"/>
    <n v="67.5"/>
    <n v="22.5"/>
    <x v="18"/>
  </r>
  <r>
    <d v="2024-07-17T00:00:00"/>
    <s v="Mentoria ENEM"/>
    <x v="2"/>
    <s v="Bruno"/>
    <n v="9"/>
    <n v="247.28"/>
    <x v="2"/>
    <s v="Indicação"/>
    <n v="2225.52"/>
    <n v="247.28"/>
    <x v="18"/>
  </r>
  <r>
    <d v="2024-07-18T00:00:00"/>
    <s v="Plano Premium"/>
    <x v="1"/>
    <s v="Carla"/>
    <n v="2"/>
    <n v="354.73"/>
    <x v="0"/>
    <s v="Indicação"/>
    <n v="709.46"/>
    <n v="354.73"/>
    <x v="18"/>
  </r>
  <r>
    <d v="2024-07-19T00:00:00"/>
    <s v="Curso ENEM"/>
    <x v="0"/>
    <s v="Diego"/>
    <n v="8"/>
    <n v="417.71"/>
    <x v="3"/>
    <s v="Indicação"/>
    <n v="3341.68"/>
    <n v="417.71"/>
    <x v="18"/>
  </r>
  <r>
    <d v="2024-07-20T00:00:00"/>
    <s v="Plano Premium"/>
    <x v="3"/>
    <s v="Eduarda"/>
    <n v="8"/>
    <n v="371.38"/>
    <x v="2"/>
    <s v="Loja"/>
    <n v="2971.04"/>
    <n v="371.38"/>
    <x v="18"/>
  </r>
  <r>
    <d v="2024-07-21T00:00:00"/>
    <s v="Simulado Pro"/>
    <x v="3"/>
    <s v="Eduarda"/>
    <n v="3"/>
    <n v="180.43"/>
    <x v="1"/>
    <s v="Indicação"/>
    <n v="541.29"/>
    <n v="180.42999999999998"/>
    <x v="18"/>
  </r>
  <r>
    <d v="2024-07-22T00:00:00"/>
    <s v="Curso ENEM"/>
    <x v="0"/>
    <s v="Bruno"/>
    <n v="8"/>
    <n v="353.66"/>
    <x v="4"/>
    <s v="Loja"/>
    <n v="2829.28"/>
    <n v="353.66"/>
    <x v="18"/>
  </r>
  <r>
    <d v="2024-07-23T00:00:00"/>
    <s v="Simulado Pro"/>
    <x v="2"/>
    <s v="Carla"/>
    <n v="8"/>
    <n v="40.020000000000003"/>
    <x v="0"/>
    <s v="Online"/>
    <n v="320.16000000000003"/>
    <n v="40.020000000000003"/>
    <x v="18"/>
  </r>
  <r>
    <d v="2024-07-25T00:00:00"/>
    <s v="Mentoria ENEM"/>
    <x v="3"/>
    <s v="Carla"/>
    <n v="9"/>
    <n v="348.3"/>
    <x v="1"/>
    <s v="WhatsApp"/>
    <n v="3134.7"/>
    <n v="348.29999999999995"/>
    <x v="18"/>
  </r>
  <r>
    <d v="2024-07-26T00:00:00"/>
    <s v="Plano Premium"/>
    <x v="2"/>
    <s v="Ana"/>
    <n v="9"/>
    <n v="460.88"/>
    <x v="3"/>
    <s v="Indicação"/>
    <n v="4147.92"/>
    <n v="460.88"/>
    <x v="18"/>
  </r>
  <r>
    <d v="2024-07-27T00:00:00"/>
    <s v="Material Revisão"/>
    <x v="3"/>
    <s v="Carla"/>
    <n v="4"/>
    <n v="219.17"/>
    <x v="4"/>
    <s v="Indicação"/>
    <n v="876.68"/>
    <n v="219.17"/>
    <x v="18"/>
  </r>
  <r>
    <d v="2024-07-28T00:00:00"/>
    <s v="Mentoria ENEM"/>
    <x v="3"/>
    <s v="Ana"/>
    <n v="9"/>
    <n v="265.08"/>
    <x v="0"/>
    <s v="WhatsApp"/>
    <n v="2385.7199999999998"/>
    <n v="265.08"/>
    <x v="18"/>
  </r>
  <r>
    <d v="2024-07-29T00:00:00"/>
    <s v="Simulado Pro"/>
    <x v="3"/>
    <s v="Bruno"/>
    <n v="1"/>
    <n v="101.38"/>
    <x v="0"/>
    <s v="Online"/>
    <n v="101.38"/>
    <n v="101.38"/>
    <x v="18"/>
  </r>
  <r>
    <d v="2024-07-30T00:00:00"/>
    <s v="Mentoria ENEM"/>
    <x v="0"/>
    <s v="Bruno"/>
    <n v="7"/>
    <n v="137.11000000000001"/>
    <x v="2"/>
    <s v="Loja"/>
    <n v="959.7700000000001"/>
    <n v="137.11000000000001"/>
    <x v="18"/>
  </r>
  <r>
    <d v="2024-07-31T00:00:00"/>
    <s v="Mentoria ENEM"/>
    <x v="4"/>
    <s v="Carla"/>
    <n v="8"/>
    <n v="92.75"/>
    <x v="4"/>
    <s v="Loja"/>
    <n v="742"/>
    <n v="92.75"/>
    <x v="18"/>
  </r>
  <r>
    <d v="2024-08-01T00:00:00"/>
    <s v="Simulado Pro"/>
    <x v="1"/>
    <s v="Diego"/>
    <n v="8"/>
    <n v="344.88"/>
    <x v="4"/>
    <s v="Loja"/>
    <n v="2759.04"/>
    <n v="344.88"/>
    <x v="19"/>
  </r>
  <r>
    <d v="2024-08-02T00:00:00"/>
    <s v="Plano Premium"/>
    <x v="3"/>
    <s v="Carla"/>
    <n v="2"/>
    <n v="20.22"/>
    <x v="0"/>
    <s v="Online"/>
    <n v="40.44"/>
    <n v="20.22"/>
    <x v="19"/>
  </r>
  <r>
    <d v="2024-08-03T00:00:00"/>
    <s v="Plano Premium"/>
    <x v="4"/>
    <s v="Ana"/>
    <n v="5"/>
    <n v="264.94"/>
    <x v="0"/>
    <s v="Indicação"/>
    <n v="1324.7"/>
    <n v="264.94"/>
    <x v="19"/>
  </r>
  <r>
    <d v="2024-08-05T00:00:00"/>
    <s v="Mentoria ENEM"/>
    <x v="1"/>
    <s v="Bruno"/>
    <n v="4"/>
    <n v="263.68"/>
    <x v="2"/>
    <s v="WhatsApp"/>
    <n v="1054.72"/>
    <n v="263.68"/>
    <x v="19"/>
  </r>
  <r>
    <d v="2024-08-06T00:00:00"/>
    <s v="Plano Premium"/>
    <x v="4"/>
    <s v="Diego"/>
    <n v="4"/>
    <n v="130.35"/>
    <x v="2"/>
    <s v="WhatsApp"/>
    <n v="521.4"/>
    <n v="130.35"/>
    <x v="19"/>
  </r>
  <r>
    <d v="2024-08-07T00:00:00"/>
    <s v="Plano Premium"/>
    <x v="0"/>
    <s v="Ana"/>
    <n v="3"/>
    <n v="333.12"/>
    <x v="4"/>
    <s v="Online"/>
    <n v="999.36"/>
    <n v="333.12"/>
    <x v="19"/>
  </r>
  <r>
    <d v="2024-08-08T00:00:00"/>
    <s v="Material Revisão"/>
    <x v="1"/>
    <s v="Ana"/>
    <n v="4"/>
    <n v="126.43"/>
    <x v="2"/>
    <s v="Indicação"/>
    <n v="505.72"/>
    <n v="126.43"/>
    <x v="19"/>
  </r>
  <r>
    <d v="2024-08-09T00:00:00"/>
    <s v="Curso ENEM"/>
    <x v="3"/>
    <s v="Diego"/>
    <n v="3"/>
    <n v="269.36"/>
    <x v="1"/>
    <s v="WhatsApp"/>
    <n v="808.08"/>
    <n v="269.36"/>
    <x v="19"/>
  </r>
  <r>
    <d v="2024-08-10T00:00:00"/>
    <s v="Simulado Pro"/>
    <x v="2"/>
    <s v="Carla"/>
    <n v="9"/>
    <n v="153.12"/>
    <x v="2"/>
    <s v="WhatsApp"/>
    <n v="1378.08"/>
    <n v="153.12"/>
    <x v="19"/>
  </r>
  <r>
    <d v="2024-08-11T00:00:00"/>
    <s v="Mentoria ENEM"/>
    <x v="2"/>
    <s v="Carla"/>
    <n v="1"/>
    <n v="438.81"/>
    <x v="0"/>
    <s v="Online"/>
    <n v="438.81"/>
    <n v="438.81"/>
    <x v="19"/>
  </r>
  <r>
    <d v="2024-08-12T00:00:00"/>
    <s v="Plano Premium"/>
    <x v="0"/>
    <s v="Diego"/>
    <n v="2"/>
    <n v="56.4"/>
    <x v="3"/>
    <s v="Loja"/>
    <n v="112.8"/>
    <n v="56.4"/>
    <x v="19"/>
  </r>
  <r>
    <d v="2024-08-13T00:00:00"/>
    <s v="Simulado Pro"/>
    <x v="3"/>
    <s v="Diego"/>
    <n v="1"/>
    <n v="121.55"/>
    <x v="3"/>
    <s v="Indicação"/>
    <n v="121.55"/>
    <n v="121.55"/>
    <x v="19"/>
  </r>
  <r>
    <d v="2024-08-14T00:00:00"/>
    <s v="Curso ENEM"/>
    <x v="1"/>
    <s v="Diego"/>
    <n v="6"/>
    <n v="365.87"/>
    <x v="3"/>
    <s v="Online"/>
    <n v="2195.2199999999998"/>
    <n v="365.86999999999995"/>
    <x v="19"/>
  </r>
  <r>
    <d v="2024-08-15T00:00:00"/>
    <s v="Curso ENEM"/>
    <x v="4"/>
    <s v="Ana"/>
    <n v="9"/>
    <n v="455.95"/>
    <x v="4"/>
    <s v="WhatsApp"/>
    <n v="4103.55"/>
    <n v="455.95000000000005"/>
    <x v="19"/>
  </r>
  <r>
    <d v="2024-08-17T00:00:00"/>
    <s v="Simulado Pro"/>
    <x v="4"/>
    <s v="Ana"/>
    <n v="7"/>
    <n v="407.31"/>
    <x v="0"/>
    <s v="Loja"/>
    <n v="2851.17"/>
    <n v="407.31"/>
    <x v="19"/>
  </r>
  <r>
    <d v="2024-08-18T00:00:00"/>
    <s v="Simulado Pro"/>
    <x v="0"/>
    <s v="Ana"/>
    <n v="7"/>
    <n v="367.94"/>
    <x v="2"/>
    <s v="Loja"/>
    <n v="2575.58"/>
    <n v="367.94"/>
    <x v="19"/>
  </r>
  <r>
    <d v="2024-08-19T00:00:00"/>
    <s v="Material Revisão"/>
    <x v="4"/>
    <s v="Eduarda"/>
    <n v="4"/>
    <n v="72.36"/>
    <x v="2"/>
    <s v="WhatsApp"/>
    <n v="289.44"/>
    <n v="72.36"/>
    <x v="19"/>
  </r>
  <r>
    <d v="2024-08-20T00:00:00"/>
    <s v="Simulado Pro"/>
    <x v="4"/>
    <s v="Diego"/>
    <n v="3"/>
    <n v="221.85"/>
    <x v="2"/>
    <s v="Online"/>
    <n v="665.55"/>
    <n v="221.85"/>
    <x v="19"/>
  </r>
  <r>
    <d v="2024-08-21T00:00:00"/>
    <s v="Curso ENEM"/>
    <x v="2"/>
    <s v="Eduarda"/>
    <n v="7"/>
    <n v="217.05"/>
    <x v="2"/>
    <s v="Online"/>
    <n v="1519.35"/>
    <n v="217.04999999999998"/>
    <x v="19"/>
  </r>
  <r>
    <d v="2024-08-22T00:00:00"/>
    <s v="Curso ENEM"/>
    <x v="0"/>
    <s v="Bruno"/>
    <n v="6"/>
    <n v="54.45"/>
    <x v="3"/>
    <s v="WhatsApp"/>
    <n v="326.7"/>
    <n v="54.449999999999996"/>
    <x v="19"/>
  </r>
  <r>
    <d v="2024-08-23T00:00:00"/>
    <s v="Simulado Pro"/>
    <x v="1"/>
    <s v="Bruno"/>
    <n v="3"/>
    <n v="445.69"/>
    <x v="3"/>
    <s v="Indicação"/>
    <n v="1337.07"/>
    <n v="445.69"/>
    <x v="19"/>
  </r>
  <r>
    <d v="2024-08-24T00:00:00"/>
    <s v="Plano Premium"/>
    <x v="3"/>
    <s v="Diego"/>
    <n v="6"/>
    <n v="302.68"/>
    <x v="4"/>
    <s v="Loja"/>
    <n v="1816.08"/>
    <n v="302.68"/>
    <x v="19"/>
  </r>
  <r>
    <d v="2024-08-25T00:00:00"/>
    <s v="Simulado Pro"/>
    <x v="3"/>
    <s v="Diego"/>
    <n v="6"/>
    <n v="245.8"/>
    <x v="2"/>
    <s v="Loja"/>
    <n v="1474.8"/>
    <n v="245.79999999999998"/>
    <x v="19"/>
  </r>
  <r>
    <d v="2024-08-26T00:00:00"/>
    <s v="Plano Premium"/>
    <x v="4"/>
    <s v="Ana"/>
    <n v="3"/>
    <n v="217.55"/>
    <x v="4"/>
    <s v="Indicação"/>
    <n v="652.65000000000009"/>
    <n v="217.55000000000004"/>
    <x v="19"/>
  </r>
  <r>
    <d v="2024-08-28T00:00:00"/>
    <s v="Simulado Pro"/>
    <x v="4"/>
    <s v="Carla"/>
    <n v="7"/>
    <n v="232.96"/>
    <x v="3"/>
    <s v="Indicação"/>
    <n v="1630.72"/>
    <n v="232.96"/>
    <x v="19"/>
  </r>
  <r>
    <d v="2024-08-29T00:00:00"/>
    <s v="Curso ENEM"/>
    <x v="2"/>
    <s v="Ana"/>
    <n v="9"/>
    <n v="361.57"/>
    <x v="3"/>
    <s v="Loja"/>
    <n v="3254.13"/>
    <n v="361.57"/>
    <x v="19"/>
  </r>
  <r>
    <d v="2024-08-30T00:00:00"/>
    <s v="Simulado Pro"/>
    <x v="1"/>
    <s v="Eduarda"/>
    <n v="9"/>
    <n v="430.71"/>
    <x v="1"/>
    <s v="Online"/>
    <n v="3876.39"/>
    <n v="430.71"/>
    <x v="19"/>
  </r>
  <r>
    <d v="2024-08-31T00:00:00"/>
    <s v="Mentoria ENEM"/>
    <x v="2"/>
    <s v="Ana"/>
    <n v="1"/>
    <n v="222.13"/>
    <x v="0"/>
    <s v="Indicação"/>
    <n v="222.13"/>
    <n v="222.13"/>
    <x v="19"/>
  </r>
  <r>
    <d v="2024-09-01T00:00:00"/>
    <s v="Plano Premium"/>
    <x v="2"/>
    <s v="Ana"/>
    <n v="1"/>
    <n v="116.89"/>
    <x v="0"/>
    <s v="Loja"/>
    <n v="116.89"/>
    <n v="116.89"/>
    <x v="20"/>
  </r>
  <r>
    <d v="2024-09-02T00:00:00"/>
    <s v="Simulado Pro"/>
    <x v="2"/>
    <s v="Bruno"/>
    <n v="1"/>
    <n v="219.9"/>
    <x v="4"/>
    <s v="Loja"/>
    <n v="219.9"/>
    <n v="219.9"/>
    <x v="20"/>
  </r>
  <r>
    <d v="2024-09-03T00:00:00"/>
    <s v="Simulado Pro"/>
    <x v="0"/>
    <s v="Diego"/>
    <n v="1"/>
    <n v="486.95"/>
    <x v="3"/>
    <s v="Online"/>
    <n v="486.95"/>
    <n v="486.95"/>
    <x v="20"/>
  </r>
  <r>
    <d v="2024-09-04T00:00:00"/>
    <s v="Curso ENEM"/>
    <x v="0"/>
    <s v="Bruno"/>
    <n v="7"/>
    <n v="290.08"/>
    <x v="1"/>
    <s v="WhatsApp"/>
    <n v="2030.56"/>
    <n v="290.08"/>
    <x v="20"/>
  </r>
  <r>
    <d v="2024-09-05T00:00:00"/>
    <s v="Curso ENEM"/>
    <x v="4"/>
    <s v="Carla"/>
    <n v="4"/>
    <n v="324.18"/>
    <x v="4"/>
    <s v="Indicação"/>
    <n v="1296.72"/>
    <n v="324.18"/>
    <x v="20"/>
  </r>
  <r>
    <d v="2024-09-06T00:00:00"/>
    <s v="Plano Premium"/>
    <x v="0"/>
    <s v="Eduarda"/>
    <n v="8"/>
    <n v="172.32"/>
    <x v="0"/>
    <s v="WhatsApp"/>
    <n v="1378.56"/>
    <n v="172.32"/>
    <x v="20"/>
  </r>
  <r>
    <d v="2024-09-08T00:00:00"/>
    <s v="Curso ENEM"/>
    <x v="4"/>
    <s v="Eduarda"/>
    <n v="9"/>
    <n v="159.88"/>
    <x v="4"/>
    <s v="Online"/>
    <n v="1438.92"/>
    <n v="159.88"/>
    <x v="20"/>
  </r>
  <r>
    <d v="2024-09-09T00:00:00"/>
    <s v="Mentoria ENEM"/>
    <x v="1"/>
    <s v="Carla"/>
    <n v="4"/>
    <n v="177.23"/>
    <x v="1"/>
    <s v="Online"/>
    <n v="708.92"/>
    <n v="177.23"/>
    <x v="20"/>
  </r>
  <r>
    <d v="2024-09-10T00:00:00"/>
    <s v="Curso ENEM"/>
    <x v="3"/>
    <s v="Bruno"/>
    <n v="7"/>
    <n v="460.5"/>
    <x v="2"/>
    <s v="Online"/>
    <n v="3223.5"/>
    <n v="460.5"/>
    <x v="20"/>
  </r>
  <r>
    <d v="2024-09-11T00:00:00"/>
    <s v="Material Revisão"/>
    <x v="2"/>
    <s v="Carla"/>
    <n v="5"/>
    <n v="80.400000000000006"/>
    <x v="0"/>
    <s v="Loja"/>
    <n v="402"/>
    <n v="80.400000000000006"/>
    <x v="20"/>
  </r>
  <r>
    <d v="2024-09-12T00:00:00"/>
    <s v="Plano Premium"/>
    <x v="1"/>
    <s v="Eduarda"/>
    <n v="8"/>
    <n v="396.88"/>
    <x v="0"/>
    <s v="WhatsApp"/>
    <n v="3175.04"/>
    <n v="396.88"/>
    <x v="20"/>
  </r>
  <r>
    <d v="2024-09-13T00:00:00"/>
    <s v="Mentoria ENEM"/>
    <x v="0"/>
    <s v="Carla"/>
    <n v="9"/>
    <n v="217.06"/>
    <x v="3"/>
    <s v="Online"/>
    <n v="1953.54"/>
    <n v="217.06"/>
    <x v="20"/>
  </r>
  <r>
    <d v="2024-09-14T00:00:00"/>
    <s v="Plano Premium"/>
    <x v="3"/>
    <s v="Carla"/>
    <n v="9"/>
    <n v="374.64"/>
    <x v="1"/>
    <s v="Indicação"/>
    <n v="3371.76"/>
    <n v="374.64000000000004"/>
    <x v="20"/>
  </r>
  <r>
    <d v="2024-09-15T00:00:00"/>
    <s v="Material Revisão"/>
    <x v="4"/>
    <s v="Diego"/>
    <n v="9"/>
    <n v="27.85"/>
    <x v="3"/>
    <s v="Loja"/>
    <n v="250.65"/>
    <n v="27.85"/>
    <x v="20"/>
  </r>
  <r>
    <d v="2024-09-16T00:00:00"/>
    <s v="Material Revisão"/>
    <x v="3"/>
    <s v="Ana"/>
    <n v="5"/>
    <n v="284.18"/>
    <x v="0"/>
    <s v="Loja"/>
    <n v="1420.9"/>
    <n v="284.18"/>
    <x v="20"/>
  </r>
  <r>
    <d v="2024-09-17T00:00:00"/>
    <s v="Material Revisão"/>
    <x v="3"/>
    <s v="Carla"/>
    <n v="8"/>
    <n v="254.37"/>
    <x v="1"/>
    <s v="Indicação"/>
    <n v="2034.96"/>
    <n v="254.37"/>
    <x v="20"/>
  </r>
  <r>
    <d v="2024-09-18T00:00:00"/>
    <s v="Curso ENEM"/>
    <x v="0"/>
    <s v="Eduarda"/>
    <n v="3"/>
    <n v="268.70999999999998"/>
    <x v="2"/>
    <s v="Loja"/>
    <n v="806.12999999999988"/>
    <n v="268.70999999999998"/>
    <x v="20"/>
  </r>
  <r>
    <d v="2024-09-20T00:00:00"/>
    <s v="Simulado Pro"/>
    <x v="0"/>
    <s v="Diego"/>
    <n v="3"/>
    <n v="167.82"/>
    <x v="1"/>
    <s v="WhatsApp"/>
    <n v="503.46"/>
    <n v="167.82"/>
    <x v="20"/>
  </r>
  <r>
    <d v="2024-09-21T00:00:00"/>
    <s v="Simulado Pro"/>
    <x v="0"/>
    <s v="Carla"/>
    <n v="8"/>
    <n v="170.08"/>
    <x v="0"/>
    <s v="Loja"/>
    <n v="1360.64"/>
    <n v="170.08"/>
    <x v="20"/>
  </r>
  <r>
    <d v="2024-09-22T00:00:00"/>
    <s v="Mentoria ENEM"/>
    <x v="1"/>
    <s v="Eduarda"/>
    <n v="5"/>
    <n v="386.42"/>
    <x v="1"/>
    <s v="Online"/>
    <n v="1932.1"/>
    <n v="386.41999999999996"/>
    <x v="20"/>
  </r>
  <r>
    <d v="2024-09-23T00:00:00"/>
    <s v="Mentoria ENEM"/>
    <x v="1"/>
    <s v="Eduarda"/>
    <n v="5"/>
    <n v="24.58"/>
    <x v="3"/>
    <s v="WhatsApp"/>
    <n v="122.9"/>
    <n v="24.580000000000002"/>
    <x v="20"/>
  </r>
  <r>
    <d v="2024-09-24T00:00:00"/>
    <s v="Curso ENEM"/>
    <x v="0"/>
    <s v="Diego"/>
    <n v="1"/>
    <n v="27.8"/>
    <x v="4"/>
    <s v="Indicação"/>
    <n v="27.8"/>
    <n v="27.8"/>
    <x v="20"/>
  </r>
  <r>
    <d v="2024-09-25T00:00:00"/>
    <s v="Mentoria ENEM"/>
    <x v="3"/>
    <s v="Eduarda"/>
    <n v="3"/>
    <n v="328.57"/>
    <x v="2"/>
    <s v="Online"/>
    <n v="985.71"/>
    <n v="328.57"/>
    <x v="20"/>
  </r>
  <r>
    <d v="2024-09-26T00:00:00"/>
    <s v="Simulado Pro"/>
    <x v="4"/>
    <s v="Bruno"/>
    <n v="7"/>
    <n v="161.51"/>
    <x v="1"/>
    <s v="WhatsApp"/>
    <n v="1130.57"/>
    <n v="161.51"/>
    <x v="20"/>
  </r>
  <r>
    <d v="2024-09-27T00:00:00"/>
    <s v="Mentoria ENEM"/>
    <x v="1"/>
    <s v="Carla"/>
    <n v="7"/>
    <n v="88.72"/>
    <x v="4"/>
    <s v="WhatsApp"/>
    <n v="621.04"/>
    <n v="88.72"/>
    <x v="20"/>
  </r>
  <r>
    <d v="2024-09-28T00:00:00"/>
    <s v="Simulado Pro"/>
    <x v="3"/>
    <s v="Carla"/>
    <n v="8"/>
    <n v="68.319999999999993"/>
    <x v="2"/>
    <s v="WhatsApp"/>
    <n v="546.55999999999995"/>
    <n v="68.319999999999993"/>
    <x v="20"/>
  </r>
  <r>
    <d v="2024-09-29T00:00:00"/>
    <s v="Simulado Pro"/>
    <x v="0"/>
    <s v="Diego"/>
    <n v="5"/>
    <n v="188.28"/>
    <x v="4"/>
    <s v="Loja"/>
    <n v="941.4"/>
    <n v="188.28"/>
    <x v="20"/>
  </r>
  <r>
    <d v="2024-10-01T00:00:00"/>
    <s v="Plano Premium"/>
    <x v="2"/>
    <s v="Eduarda"/>
    <n v="5"/>
    <n v="69.31"/>
    <x v="1"/>
    <s v="Loja"/>
    <n v="346.55"/>
    <n v="69.31"/>
    <x v="21"/>
  </r>
  <r>
    <d v="2024-10-02T00:00:00"/>
    <s v="Mentoria ENEM"/>
    <x v="3"/>
    <s v="Diego"/>
    <n v="5"/>
    <n v="47.16"/>
    <x v="0"/>
    <s v="Indicação"/>
    <n v="235.8"/>
    <n v="47.160000000000004"/>
    <x v="21"/>
  </r>
  <r>
    <d v="2024-10-03T00:00:00"/>
    <s v="Plano Premium"/>
    <x v="1"/>
    <s v="Eduarda"/>
    <n v="8"/>
    <n v="72.95"/>
    <x v="1"/>
    <s v="Online"/>
    <n v="583.6"/>
    <n v="72.95"/>
    <x v="21"/>
  </r>
  <r>
    <d v="2024-10-04T00:00:00"/>
    <s v="Curso ENEM"/>
    <x v="1"/>
    <s v="Diego"/>
    <n v="6"/>
    <n v="362.67"/>
    <x v="1"/>
    <s v="Indicação"/>
    <n v="2176.02"/>
    <n v="362.67"/>
    <x v="21"/>
  </r>
  <r>
    <d v="2024-10-05T00:00:00"/>
    <s v="Simulado Pro"/>
    <x v="0"/>
    <s v="Diego"/>
    <n v="8"/>
    <n v="413.07"/>
    <x v="4"/>
    <s v="WhatsApp"/>
    <n v="3304.56"/>
    <n v="413.07"/>
    <x v="21"/>
  </r>
  <r>
    <d v="2024-10-06T00:00:00"/>
    <s v="Plano Premium"/>
    <x v="2"/>
    <s v="Diego"/>
    <n v="3"/>
    <n v="205.49"/>
    <x v="0"/>
    <s v="Indicação"/>
    <n v="616.47"/>
    <n v="205.49"/>
    <x v="21"/>
  </r>
  <r>
    <d v="2024-10-07T00:00:00"/>
    <s v="Plano Premium"/>
    <x v="2"/>
    <s v="Bruno"/>
    <n v="5"/>
    <n v="271.20999999999998"/>
    <x v="1"/>
    <s v="Online"/>
    <n v="1356.05"/>
    <n v="271.20999999999998"/>
    <x v="21"/>
  </r>
  <r>
    <d v="2024-10-08T00:00:00"/>
    <s v="Plano Premium"/>
    <x v="1"/>
    <s v="Carla"/>
    <n v="9"/>
    <n v="237.65"/>
    <x v="1"/>
    <s v="Online"/>
    <n v="2138.85"/>
    <n v="237.64999999999998"/>
    <x v="21"/>
  </r>
  <r>
    <d v="2024-10-09T00:00:00"/>
    <s v="Mentoria ENEM"/>
    <x v="2"/>
    <s v="Eduarda"/>
    <n v="3"/>
    <n v="350.16"/>
    <x v="3"/>
    <s v="Online"/>
    <n v="1050.48"/>
    <n v="350.16"/>
    <x v="21"/>
  </r>
  <r>
    <d v="2024-10-10T00:00:00"/>
    <s v="Simulado Pro"/>
    <x v="1"/>
    <s v="Eduarda"/>
    <n v="3"/>
    <n v="497.77"/>
    <x v="1"/>
    <s v="Online"/>
    <n v="1493.31"/>
    <n v="497.77"/>
    <x v="21"/>
  </r>
  <r>
    <d v="2024-10-11T00:00:00"/>
    <s v="Mentoria ENEM"/>
    <x v="0"/>
    <s v="Carla"/>
    <n v="3"/>
    <n v="96.27"/>
    <x v="1"/>
    <s v="Online"/>
    <n v="288.81"/>
    <n v="96.27"/>
    <x v="21"/>
  </r>
  <r>
    <d v="2024-10-13T00:00:00"/>
    <s v="Mentoria ENEM"/>
    <x v="4"/>
    <s v="Eduarda"/>
    <n v="9"/>
    <n v="83.29"/>
    <x v="2"/>
    <s v="Indicação"/>
    <n v="749.61"/>
    <n v="83.29"/>
    <x v="21"/>
  </r>
  <r>
    <d v="2024-10-14T00:00:00"/>
    <s v="Curso ENEM"/>
    <x v="4"/>
    <s v="Ana"/>
    <n v="1"/>
    <n v="103.58"/>
    <x v="3"/>
    <s v="Loja"/>
    <n v="103.58"/>
    <n v="103.58"/>
    <x v="21"/>
  </r>
  <r>
    <d v="2024-10-15T00:00:00"/>
    <s v="Mentoria ENEM"/>
    <x v="2"/>
    <s v="Diego"/>
    <n v="7"/>
    <n v="401.61"/>
    <x v="3"/>
    <s v="WhatsApp"/>
    <n v="2811.27"/>
    <n v="401.61"/>
    <x v="21"/>
  </r>
  <r>
    <d v="2024-10-16T00:00:00"/>
    <s v="Curso ENEM"/>
    <x v="2"/>
    <s v="Eduarda"/>
    <n v="2"/>
    <n v="285.06"/>
    <x v="2"/>
    <s v="Loja"/>
    <n v="570.12"/>
    <n v="285.06"/>
    <x v="21"/>
  </r>
  <r>
    <d v="2024-10-17T00:00:00"/>
    <s v="Curso ENEM"/>
    <x v="0"/>
    <s v="Ana"/>
    <n v="7"/>
    <n v="216.73"/>
    <x v="4"/>
    <s v="Loja"/>
    <n v="1517.11"/>
    <n v="216.73"/>
    <x v="21"/>
  </r>
  <r>
    <d v="2024-10-18T00:00:00"/>
    <s v="Simulado Pro"/>
    <x v="0"/>
    <s v="Diego"/>
    <n v="7"/>
    <n v="488.15"/>
    <x v="3"/>
    <s v="Indicação"/>
    <n v="3417.05"/>
    <n v="488.15000000000003"/>
    <x v="21"/>
  </r>
  <r>
    <d v="2024-10-19T00:00:00"/>
    <s v="Curso ENEM"/>
    <x v="2"/>
    <s v="Eduarda"/>
    <n v="5"/>
    <n v="343.73"/>
    <x v="3"/>
    <s v="Loja"/>
    <n v="1718.65"/>
    <n v="343.73"/>
    <x v="21"/>
  </r>
  <r>
    <d v="2024-10-20T00:00:00"/>
    <s v="Mentoria ENEM"/>
    <x v="2"/>
    <s v="Eduarda"/>
    <n v="1"/>
    <n v="409.77"/>
    <x v="0"/>
    <s v="Indicação"/>
    <n v="409.77"/>
    <n v="409.77"/>
    <x v="21"/>
  </r>
  <r>
    <d v="2024-10-21T00:00:00"/>
    <s v="Material Revisão"/>
    <x v="4"/>
    <s v="Bruno"/>
    <n v="1"/>
    <n v="121.97"/>
    <x v="2"/>
    <s v="Loja"/>
    <n v="121.97"/>
    <n v="121.97"/>
    <x v="21"/>
  </r>
  <r>
    <d v="2024-10-22T00:00:00"/>
    <s v="Plano Premium"/>
    <x v="1"/>
    <s v="Bruno"/>
    <n v="6"/>
    <n v="316.39999999999998"/>
    <x v="4"/>
    <s v="Loja"/>
    <n v="1898.4"/>
    <n v="316.40000000000003"/>
    <x v="21"/>
  </r>
  <r>
    <d v="2024-10-24T00:00:00"/>
    <s v="Simulado Pro"/>
    <x v="1"/>
    <s v="Diego"/>
    <n v="7"/>
    <n v="239.23"/>
    <x v="3"/>
    <s v="Loja"/>
    <n v="1674.61"/>
    <n v="239.23"/>
    <x v="21"/>
  </r>
  <r>
    <d v="2024-10-25T00:00:00"/>
    <s v="Material Revisão"/>
    <x v="0"/>
    <s v="Eduarda"/>
    <n v="6"/>
    <n v="403.97"/>
    <x v="0"/>
    <s v="Loja"/>
    <n v="2423.8200000000002"/>
    <n v="403.97"/>
    <x v="21"/>
  </r>
  <r>
    <d v="2024-10-26T00:00:00"/>
    <s v="Mentoria ENEM"/>
    <x v="2"/>
    <s v="Bruno"/>
    <n v="6"/>
    <n v="140.93"/>
    <x v="0"/>
    <s v="WhatsApp"/>
    <n v="845.58"/>
    <n v="140.93"/>
    <x v="21"/>
  </r>
  <r>
    <d v="2024-10-27T00:00:00"/>
    <s v="Simulado Pro"/>
    <x v="2"/>
    <s v="Ana"/>
    <n v="5"/>
    <n v="184.74"/>
    <x v="2"/>
    <s v="WhatsApp"/>
    <n v="923.7"/>
    <n v="184.74"/>
    <x v="21"/>
  </r>
  <r>
    <d v="2024-10-28T00:00:00"/>
    <s v="Mentoria ENEM"/>
    <x v="1"/>
    <s v="Ana"/>
    <n v="8"/>
    <n v="270.02"/>
    <x v="4"/>
    <s v="Indicação"/>
    <n v="2160.16"/>
    <n v="270.02"/>
    <x v="21"/>
  </r>
  <r>
    <d v="2024-10-29T00:00:00"/>
    <s v="Mentoria ENEM"/>
    <x v="2"/>
    <s v="Bruno"/>
    <n v="1"/>
    <n v="141.56"/>
    <x v="3"/>
    <s v="Indicação"/>
    <n v="141.56"/>
    <n v="141.56"/>
    <x v="21"/>
  </r>
  <r>
    <d v="2024-10-30T00:00:00"/>
    <s v="Simulado Pro"/>
    <x v="0"/>
    <s v="Ana"/>
    <n v="2"/>
    <n v="333.41"/>
    <x v="4"/>
    <s v="Online"/>
    <n v="666.82"/>
    <n v="333.41"/>
    <x v="21"/>
  </r>
  <r>
    <d v="2024-10-31T00:00:00"/>
    <s v="Plano Premium"/>
    <x v="3"/>
    <s v="Eduarda"/>
    <n v="6"/>
    <n v="194.88"/>
    <x v="2"/>
    <s v="WhatsApp"/>
    <n v="1169.28"/>
    <n v="194.88"/>
    <x v="21"/>
  </r>
  <r>
    <d v="2024-11-01T00:00:00"/>
    <s v="Material Revisão"/>
    <x v="2"/>
    <s v="Carla"/>
    <n v="2"/>
    <n v="148.51"/>
    <x v="4"/>
    <s v="Indicação"/>
    <n v="297.02"/>
    <n v="148.51"/>
    <x v="22"/>
  </r>
  <r>
    <d v="2024-11-02T00:00:00"/>
    <s v="Curso ENEM"/>
    <x v="0"/>
    <s v="Eduarda"/>
    <n v="3"/>
    <n v="173.24"/>
    <x v="4"/>
    <s v="Indicação"/>
    <n v="519.72"/>
    <n v="173.24"/>
    <x v="22"/>
  </r>
  <r>
    <d v="2024-11-04T00:00:00"/>
    <s v="Curso ENEM"/>
    <x v="4"/>
    <s v="Eduarda"/>
    <n v="1"/>
    <n v="225.56"/>
    <x v="0"/>
    <s v="Online"/>
    <n v="225.56"/>
    <n v="225.56"/>
    <x v="22"/>
  </r>
  <r>
    <d v="2024-11-05T00:00:00"/>
    <s v="Material Revisão"/>
    <x v="4"/>
    <s v="Bruno"/>
    <n v="5"/>
    <n v="238.9"/>
    <x v="1"/>
    <s v="Loja"/>
    <n v="1194.5"/>
    <n v="238.9"/>
    <x v="22"/>
  </r>
  <r>
    <d v="2024-11-06T00:00:00"/>
    <s v="Material Revisão"/>
    <x v="2"/>
    <s v="Eduarda"/>
    <n v="6"/>
    <n v="484.5"/>
    <x v="1"/>
    <s v="WhatsApp"/>
    <n v="2907"/>
    <n v="484.5"/>
    <x v="22"/>
  </r>
  <r>
    <d v="2024-11-07T00:00:00"/>
    <s v="Simulado Pro"/>
    <x v="2"/>
    <s v="Bruno"/>
    <n v="1"/>
    <n v="287.41000000000003"/>
    <x v="1"/>
    <s v="Online"/>
    <n v="287.41000000000003"/>
    <n v="287.41000000000003"/>
    <x v="22"/>
  </r>
  <r>
    <d v="2024-11-08T00:00:00"/>
    <s v="Plano Premium"/>
    <x v="1"/>
    <s v="Carla"/>
    <n v="7"/>
    <n v="154.69"/>
    <x v="0"/>
    <s v="WhatsApp"/>
    <n v="1082.83"/>
    <n v="154.69"/>
    <x v="22"/>
  </r>
  <r>
    <d v="2024-11-09T00:00:00"/>
    <s v="Simulado Pro"/>
    <x v="4"/>
    <s v="Eduarda"/>
    <n v="6"/>
    <n v="228.45"/>
    <x v="3"/>
    <s v="Indicação"/>
    <n v="1370.7"/>
    <n v="228.45000000000002"/>
    <x v="22"/>
  </r>
  <r>
    <d v="2024-11-10T00:00:00"/>
    <s v="Simulado Pro"/>
    <x v="3"/>
    <s v="Bruno"/>
    <n v="5"/>
    <n v="402.31"/>
    <x v="1"/>
    <s v="Loja"/>
    <n v="2011.55"/>
    <n v="402.31"/>
    <x v="22"/>
  </r>
  <r>
    <d v="2024-11-11T00:00:00"/>
    <s v="Simulado Pro"/>
    <x v="0"/>
    <s v="Carla"/>
    <n v="4"/>
    <n v="369.59"/>
    <x v="3"/>
    <s v="Loja"/>
    <n v="1478.36"/>
    <n v="369.59"/>
    <x v="22"/>
  </r>
  <r>
    <d v="2024-11-12T00:00:00"/>
    <s v="Material Revisão"/>
    <x v="4"/>
    <s v="Carla"/>
    <n v="4"/>
    <n v="343.88"/>
    <x v="2"/>
    <s v="WhatsApp"/>
    <n v="1375.52"/>
    <n v="343.88"/>
    <x v="22"/>
  </r>
  <r>
    <d v="2024-11-13T00:00:00"/>
    <s v="Curso ENEM"/>
    <x v="4"/>
    <s v="Eduarda"/>
    <n v="6"/>
    <n v="497.77"/>
    <x v="0"/>
    <s v="Loja"/>
    <n v="2986.62"/>
    <n v="497.77"/>
    <x v="22"/>
  </r>
  <r>
    <d v="2024-11-14T00:00:00"/>
    <s v="Mentoria ENEM"/>
    <x v="2"/>
    <s v="Carla"/>
    <n v="5"/>
    <n v="251.53"/>
    <x v="2"/>
    <s v="Indicação"/>
    <n v="1257.6500000000001"/>
    <n v="251.53000000000003"/>
    <x v="22"/>
  </r>
  <r>
    <d v="2024-11-16T00:00:00"/>
    <s v="Material Revisão"/>
    <x v="1"/>
    <s v="Carla"/>
    <n v="9"/>
    <n v="350.16"/>
    <x v="0"/>
    <s v="Online"/>
    <n v="3151.44"/>
    <n v="350.16"/>
    <x v="22"/>
  </r>
  <r>
    <d v="2024-11-17T00:00:00"/>
    <s v="Curso ENEM"/>
    <x v="4"/>
    <s v="Bruno"/>
    <n v="3"/>
    <n v="488.9"/>
    <x v="0"/>
    <s v="Indicação"/>
    <n v="1466.7"/>
    <n v="488.90000000000003"/>
    <x v="22"/>
  </r>
  <r>
    <d v="2024-11-18T00:00:00"/>
    <s v="Mentoria ENEM"/>
    <x v="2"/>
    <s v="Eduarda"/>
    <n v="1"/>
    <n v="422.06"/>
    <x v="2"/>
    <s v="Online"/>
    <n v="422.06"/>
    <n v="422.06"/>
    <x v="22"/>
  </r>
  <r>
    <d v="2024-11-19T00:00:00"/>
    <s v="Simulado Pro"/>
    <x v="1"/>
    <s v="Carla"/>
    <n v="7"/>
    <n v="394.01"/>
    <x v="3"/>
    <s v="Loja"/>
    <n v="2758.07"/>
    <n v="394.01000000000005"/>
    <x v="22"/>
  </r>
  <r>
    <d v="2024-11-20T00:00:00"/>
    <s v="Simulado Pro"/>
    <x v="2"/>
    <s v="Eduarda"/>
    <n v="3"/>
    <n v="409.54"/>
    <x v="0"/>
    <s v="Loja"/>
    <n v="1228.6199999999999"/>
    <n v="409.53999999999996"/>
    <x v="22"/>
  </r>
  <r>
    <d v="2024-11-21T00:00:00"/>
    <s v="Material Revisão"/>
    <x v="4"/>
    <s v="Carla"/>
    <n v="7"/>
    <n v="301.24"/>
    <x v="0"/>
    <s v="Loja"/>
    <n v="2108.6799999999998"/>
    <n v="301.23999999999995"/>
    <x v="22"/>
  </r>
  <r>
    <d v="2024-11-22T00:00:00"/>
    <s v="Simulado Pro"/>
    <x v="1"/>
    <s v="Bruno"/>
    <n v="3"/>
    <n v="400.92"/>
    <x v="0"/>
    <s v="Loja"/>
    <n v="1202.76"/>
    <n v="400.92"/>
    <x v="22"/>
  </r>
  <r>
    <d v="2024-11-23T00:00:00"/>
    <s v="Material Revisão"/>
    <x v="2"/>
    <s v="Eduarda"/>
    <n v="8"/>
    <n v="45.67"/>
    <x v="2"/>
    <s v="Indicação"/>
    <n v="365.36"/>
    <n v="45.67"/>
    <x v="22"/>
  </r>
  <r>
    <d v="2024-11-24T00:00:00"/>
    <s v="Simulado Pro"/>
    <x v="1"/>
    <s v="Carla"/>
    <n v="5"/>
    <n v="171.49"/>
    <x v="4"/>
    <s v="Loja"/>
    <n v="857.45"/>
    <n v="171.49"/>
    <x v="22"/>
  </r>
  <r>
    <d v="2024-11-25T00:00:00"/>
    <s v="Curso ENEM"/>
    <x v="0"/>
    <s v="Bruno"/>
    <n v="7"/>
    <n v="273.58999999999997"/>
    <x v="2"/>
    <s v="WhatsApp"/>
    <n v="1915.13"/>
    <n v="273.59000000000003"/>
    <x v="22"/>
  </r>
  <r>
    <d v="2024-11-27T00:00:00"/>
    <s v="Curso ENEM"/>
    <x v="1"/>
    <s v="Carla"/>
    <n v="2"/>
    <n v="49"/>
    <x v="4"/>
    <s v="Online"/>
    <n v="98"/>
    <n v="49"/>
    <x v="22"/>
  </r>
  <r>
    <d v="2024-11-28T00:00:00"/>
    <s v="Material Revisão"/>
    <x v="1"/>
    <s v="Carla"/>
    <n v="4"/>
    <n v="239.17"/>
    <x v="2"/>
    <s v="Loja"/>
    <n v="956.68"/>
    <n v="239.17"/>
    <x v="22"/>
  </r>
  <r>
    <d v="2024-11-29T00:00:00"/>
    <s v="Curso ENEM"/>
    <x v="0"/>
    <s v="Bruno"/>
    <n v="7"/>
    <n v="95.22"/>
    <x v="3"/>
    <s v="Loja"/>
    <n v="666.54"/>
    <n v="95.22"/>
    <x v="22"/>
  </r>
  <r>
    <d v="2024-11-30T00:00:00"/>
    <s v="Plano Premium"/>
    <x v="1"/>
    <s v="Ana"/>
    <n v="9"/>
    <n v="59.73"/>
    <x v="4"/>
    <s v="Indicação"/>
    <n v="537.56999999999994"/>
    <n v="59.72999999999999"/>
    <x v="22"/>
  </r>
  <r>
    <d v="2024-12-01T00:00:00"/>
    <s v="Simulado Pro"/>
    <x v="2"/>
    <s v="Eduarda"/>
    <n v="6"/>
    <n v="135.93"/>
    <x v="1"/>
    <s v="Indicação"/>
    <n v="815.58"/>
    <n v="135.93"/>
    <x v="23"/>
  </r>
  <r>
    <d v="2024-12-02T00:00:00"/>
    <s v="Material Revisão"/>
    <x v="3"/>
    <s v="Ana"/>
    <n v="5"/>
    <n v="47.48"/>
    <x v="3"/>
    <s v="Indicação"/>
    <n v="237.4"/>
    <n v="47.480000000000004"/>
    <x v="23"/>
  </r>
  <r>
    <d v="2024-12-03T00:00:00"/>
    <s v="Plano Premium"/>
    <x v="4"/>
    <s v="Bruno"/>
    <n v="2"/>
    <n v="184.26"/>
    <x v="3"/>
    <s v="WhatsApp"/>
    <n v="368.52"/>
    <n v="184.26"/>
    <x v="23"/>
  </r>
  <r>
    <d v="2024-12-04T00:00:00"/>
    <s v="Mentoria ENEM"/>
    <x v="0"/>
    <s v="Diego"/>
    <n v="5"/>
    <n v="238.66"/>
    <x v="4"/>
    <s v="Indicação"/>
    <n v="1193.3"/>
    <n v="238.66"/>
    <x v="23"/>
  </r>
  <r>
    <d v="2024-12-05T00:00:00"/>
    <s v="Curso ENEM"/>
    <x v="4"/>
    <s v="Bruno"/>
    <n v="8"/>
    <n v="489.73"/>
    <x v="2"/>
    <s v="Indicação"/>
    <n v="3917.84"/>
    <n v="489.73"/>
    <x v="23"/>
  </r>
  <r>
    <d v="2024-12-06T00:00:00"/>
    <s v="Simulado Pro"/>
    <x v="0"/>
    <s v="Eduarda"/>
    <n v="6"/>
    <n v="280.24"/>
    <x v="2"/>
    <s v="Indicação"/>
    <n v="1681.44"/>
    <n v="280.24"/>
    <x v="23"/>
  </r>
  <r>
    <d v="2024-12-07T00:00:00"/>
    <s v="Simulado Pro"/>
    <x v="4"/>
    <s v="Diego"/>
    <n v="4"/>
    <n v="452.67"/>
    <x v="3"/>
    <s v="WhatsApp"/>
    <n v="1810.68"/>
    <n v="452.67"/>
    <x v="23"/>
  </r>
  <r>
    <d v="2024-12-09T00:00:00"/>
    <s v="Mentoria ENEM"/>
    <x v="4"/>
    <s v="Eduarda"/>
    <n v="4"/>
    <n v="258.82"/>
    <x v="4"/>
    <s v="Indicação"/>
    <n v="1035.28"/>
    <n v="258.82"/>
    <x v="23"/>
  </r>
  <r>
    <d v="2024-12-10T00:00:00"/>
    <s v="Material Revisão"/>
    <x v="3"/>
    <s v="Ana"/>
    <n v="6"/>
    <n v="348.63"/>
    <x v="0"/>
    <s v="Loja"/>
    <n v="2091.7800000000002"/>
    <n v="348.63000000000005"/>
    <x v="23"/>
  </r>
  <r>
    <d v="2024-12-11T00:00:00"/>
    <s v="Material Revisão"/>
    <x v="4"/>
    <s v="Diego"/>
    <n v="3"/>
    <n v="408.8"/>
    <x v="0"/>
    <s v="Indicação"/>
    <n v="1226.4000000000001"/>
    <n v="408.8"/>
    <x v="23"/>
  </r>
  <r>
    <d v="2024-12-12T00:00:00"/>
    <s v="Material Revisão"/>
    <x v="1"/>
    <s v="Bruno"/>
    <n v="4"/>
    <n v="151.91999999999999"/>
    <x v="2"/>
    <s v="Indicação"/>
    <n v="607.67999999999995"/>
    <n v="151.91999999999999"/>
    <x v="23"/>
  </r>
  <r>
    <d v="2024-12-13T00:00:00"/>
    <s v="Mentoria ENEM"/>
    <x v="2"/>
    <s v="Ana"/>
    <n v="5"/>
    <n v="33.46"/>
    <x v="0"/>
    <s v="WhatsApp"/>
    <n v="167.3"/>
    <n v="33.46"/>
    <x v="23"/>
  </r>
  <r>
    <d v="2024-12-14T00:00:00"/>
    <s v="Curso ENEM"/>
    <x v="3"/>
    <s v="Eduarda"/>
    <n v="3"/>
    <n v="494.61"/>
    <x v="2"/>
    <s v="WhatsApp"/>
    <n v="1483.83"/>
    <n v="494.60999999999996"/>
    <x v="23"/>
  </r>
  <r>
    <d v="2024-12-15T00:00:00"/>
    <s v="Curso ENEM"/>
    <x v="4"/>
    <s v="Ana"/>
    <n v="2"/>
    <n v="65.12"/>
    <x v="3"/>
    <s v="Indicação"/>
    <n v="130.24"/>
    <n v="65.12"/>
    <x v="23"/>
  </r>
  <r>
    <d v="2024-12-16T00:00:00"/>
    <s v="Simulado Pro"/>
    <x v="1"/>
    <s v="Bruno"/>
    <n v="2"/>
    <n v="41.97"/>
    <x v="0"/>
    <s v="Loja"/>
    <n v="83.94"/>
    <n v="41.97"/>
    <x v="23"/>
  </r>
  <r>
    <d v="2024-12-17T00:00:00"/>
    <s v="Plano Premium"/>
    <x v="4"/>
    <s v="Diego"/>
    <n v="8"/>
    <n v="24.51"/>
    <x v="1"/>
    <s v="Loja"/>
    <n v="196.08"/>
    <n v="24.51"/>
    <x v="23"/>
  </r>
  <r>
    <d v="2024-12-18T00:00:00"/>
    <s v="Curso ENEM"/>
    <x v="0"/>
    <s v="Ana"/>
    <n v="6"/>
    <n v="250.63"/>
    <x v="3"/>
    <s v="Online"/>
    <n v="1503.78"/>
    <n v="250.63"/>
    <x v="23"/>
  </r>
  <r>
    <d v="2024-12-20T00:00:00"/>
    <s v="Plano Premium"/>
    <x v="0"/>
    <s v="Eduarda"/>
    <n v="7"/>
    <n v="86.95"/>
    <x v="2"/>
    <s v="Loja"/>
    <n v="608.65"/>
    <n v="86.95"/>
    <x v="23"/>
  </r>
  <r>
    <d v="2024-12-21T00:00:00"/>
    <s v="Mentoria ENEM"/>
    <x v="4"/>
    <s v="Diego"/>
    <n v="5"/>
    <n v="283.24"/>
    <x v="1"/>
    <s v="Indicação"/>
    <n v="1416.2"/>
    <n v="283.24"/>
    <x v="23"/>
  </r>
  <r>
    <d v="2024-12-22T00:00:00"/>
    <s v="Plano Premium"/>
    <x v="0"/>
    <s v="Bruno"/>
    <n v="2"/>
    <n v="101.55"/>
    <x v="4"/>
    <s v="Online"/>
    <n v="203.1"/>
    <n v="101.55"/>
    <x v="23"/>
  </r>
  <r>
    <d v="2024-12-23T00:00:00"/>
    <s v="Material Revisão"/>
    <x v="3"/>
    <s v="Carla"/>
    <n v="3"/>
    <n v="253.41"/>
    <x v="1"/>
    <s v="WhatsApp"/>
    <n v="760.23"/>
    <n v="253.41"/>
    <x v="23"/>
  </r>
  <r>
    <d v="2024-12-24T00:00:00"/>
    <s v="Plano Premium"/>
    <x v="2"/>
    <s v="Diego"/>
    <n v="1"/>
    <n v="278.64"/>
    <x v="4"/>
    <s v="WhatsApp"/>
    <n v="278.64"/>
    <n v="278.64"/>
    <x v="23"/>
  </r>
  <r>
    <d v="2024-12-25T00:00:00"/>
    <s v="Plano Premium"/>
    <x v="1"/>
    <s v="Diego"/>
    <n v="6"/>
    <n v="388.55"/>
    <x v="1"/>
    <s v="Indicação"/>
    <n v="2331.3000000000002"/>
    <n v="388.55"/>
    <x v="23"/>
  </r>
  <r>
    <d v="2024-12-26T00:00:00"/>
    <s v="Curso ENEM"/>
    <x v="0"/>
    <s v="Bruno"/>
    <n v="9"/>
    <n v="324.10000000000002"/>
    <x v="1"/>
    <s v="Loja"/>
    <n v="2916.9"/>
    <n v="324.10000000000002"/>
    <x v="23"/>
  </r>
  <r>
    <d v="2024-12-27T00:00:00"/>
    <s v="Material Revisão"/>
    <x v="0"/>
    <s v="Carla"/>
    <n v="3"/>
    <n v="282.75"/>
    <x v="3"/>
    <s v="Online"/>
    <n v="848.25"/>
    <n v="282.75"/>
    <x v="23"/>
  </r>
  <r>
    <d v="2024-12-28T00:00:00"/>
    <s v="Plano Premium"/>
    <x v="4"/>
    <s v="Eduarda"/>
    <n v="8"/>
    <n v="159.36000000000001"/>
    <x v="1"/>
    <s v="Loja"/>
    <n v="1274.8800000000001"/>
    <n v="159.36000000000001"/>
    <x v="23"/>
  </r>
  <r>
    <d v="2024-12-29T00:00:00"/>
    <s v="Curso ENEM"/>
    <x v="4"/>
    <s v="Ana"/>
    <n v="7"/>
    <n v="38.090000000000003"/>
    <x v="0"/>
    <s v="WhatsApp"/>
    <n v="266.63"/>
    <n v="38.089999999999996"/>
    <x v="23"/>
  </r>
  <r>
    <d v="2024-12-31T00:00:00"/>
    <s v="Plano Premium"/>
    <x v="3"/>
    <s v="Ana"/>
    <n v="1"/>
    <n v="107.6"/>
    <x v="1"/>
    <s v="Loja"/>
    <n v="107.6"/>
    <n v="107.6"/>
    <x v="23"/>
  </r>
  <r>
    <d v="2025-01-01T00:00:00"/>
    <s v="Curso ENEM"/>
    <x v="4"/>
    <s v="Eduarda"/>
    <n v="8"/>
    <n v="98.62"/>
    <x v="2"/>
    <s v="Loja"/>
    <n v="788.96"/>
    <n v="98.62"/>
    <x v="24"/>
  </r>
  <r>
    <d v="2025-01-02T00:00:00"/>
    <s v="Curso ENEM"/>
    <x v="1"/>
    <s v="Bruno"/>
    <n v="2"/>
    <n v="499.75"/>
    <x v="0"/>
    <s v="WhatsApp"/>
    <n v="999.5"/>
    <n v="499.75"/>
    <x v="24"/>
  </r>
  <r>
    <d v="2025-01-03T00:00:00"/>
    <s v="Mentoria ENEM"/>
    <x v="4"/>
    <s v="Diego"/>
    <n v="3"/>
    <n v="226.65"/>
    <x v="1"/>
    <s v="Online"/>
    <n v="679.95"/>
    <n v="226.65"/>
    <x v="24"/>
  </r>
  <r>
    <d v="2025-01-04T00:00:00"/>
    <s v="Plano Premium"/>
    <x v="2"/>
    <s v="Bruno"/>
    <n v="8"/>
    <n v="297.33999999999997"/>
    <x v="0"/>
    <s v="Online"/>
    <n v="2378.7199999999998"/>
    <n v="297.33999999999997"/>
    <x v="24"/>
  </r>
  <r>
    <d v="2025-01-05T00:00:00"/>
    <s v="Curso ENEM"/>
    <x v="1"/>
    <s v="Carla"/>
    <n v="1"/>
    <n v="474.22"/>
    <x v="0"/>
    <s v="Online"/>
    <n v="474.22"/>
    <n v="474.22"/>
    <x v="24"/>
  </r>
  <r>
    <d v="2025-01-06T00:00:00"/>
    <s v="Material Revisão"/>
    <x v="2"/>
    <s v="Carla"/>
    <n v="6"/>
    <n v="192.05"/>
    <x v="1"/>
    <s v="Online"/>
    <n v="1152.3"/>
    <n v="192.04999999999998"/>
    <x v="24"/>
  </r>
  <r>
    <d v="2025-01-07T00:00:00"/>
    <s v="Simulado Pro"/>
    <x v="2"/>
    <s v="Carla"/>
    <n v="7"/>
    <n v="427.21"/>
    <x v="3"/>
    <s v="Online"/>
    <n v="2990.47"/>
    <n v="427.21"/>
    <x v="24"/>
  </r>
  <r>
    <d v="2025-01-08T00:00:00"/>
    <s v="Plano Premium"/>
    <x v="1"/>
    <s v="Bruno"/>
    <n v="3"/>
    <n v="284.91000000000003"/>
    <x v="4"/>
    <s v="Loja"/>
    <n v="854.73"/>
    <n v="284.91000000000003"/>
    <x v="24"/>
  </r>
  <r>
    <d v="2025-01-09T00:00:00"/>
    <s v="Curso ENEM"/>
    <x v="0"/>
    <s v="Diego"/>
    <n v="5"/>
    <n v="197.43"/>
    <x v="1"/>
    <s v="Indicação"/>
    <n v="987.15000000000009"/>
    <n v="197.43"/>
    <x v="24"/>
  </r>
  <r>
    <d v="2025-01-10T00:00:00"/>
    <s v="Mentoria ENEM"/>
    <x v="2"/>
    <s v="Bruno"/>
    <n v="2"/>
    <n v="431.76"/>
    <x v="2"/>
    <s v="Loja"/>
    <n v="863.52"/>
    <n v="431.76"/>
    <x v="24"/>
  </r>
  <r>
    <d v="2025-01-12T00:00:00"/>
    <s v="Curso ENEM"/>
    <x v="1"/>
    <s v="Eduarda"/>
    <n v="4"/>
    <n v="392.33"/>
    <x v="3"/>
    <s v="Loja"/>
    <n v="1569.32"/>
    <n v="392.33"/>
    <x v="24"/>
  </r>
  <r>
    <d v="2025-01-13T00:00:00"/>
    <s v="Mentoria ENEM"/>
    <x v="4"/>
    <s v="Diego"/>
    <n v="1"/>
    <n v="410.22"/>
    <x v="0"/>
    <s v="Indicação"/>
    <n v="410.22"/>
    <n v="410.22"/>
    <x v="24"/>
  </r>
  <r>
    <d v="2025-01-14T00:00:00"/>
    <s v="Plano Premium"/>
    <x v="4"/>
    <s v="Bruno"/>
    <n v="3"/>
    <n v="121.19"/>
    <x v="3"/>
    <s v="Indicação"/>
    <n v="363.57"/>
    <n v="121.19"/>
    <x v="24"/>
  </r>
  <r>
    <d v="2025-01-15T00:00:00"/>
    <s v="Material Revisão"/>
    <x v="0"/>
    <s v="Eduarda"/>
    <n v="3"/>
    <n v="312.97000000000003"/>
    <x v="2"/>
    <s v="Indicação"/>
    <n v="938.91000000000008"/>
    <n v="312.97000000000003"/>
    <x v="24"/>
  </r>
  <r>
    <d v="2025-01-16T00:00:00"/>
    <s v="Material Revisão"/>
    <x v="3"/>
    <s v="Eduarda"/>
    <n v="4"/>
    <n v="425.7"/>
    <x v="2"/>
    <s v="Online"/>
    <n v="1702.8"/>
    <n v="425.7"/>
    <x v="24"/>
  </r>
  <r>
    <d v="2025-01-17T00:00:00"/>
    <s v="Material Revisão"/>
    <x v="4"/>
    <s v="Carla"/>
    <n v="1"/>
    <n v="457.17"/>
    <x v="0"/>
    <s v="Loja"/>
    <n v="457.17"/>
    <n v="457.17"/>
    <x v="24"/>
  </r>
  <r>
    <d v="2025-01-18T00:00:00"/>
    <s v="Mentoria ENEM"/>
    <x v="4"/>
    <s v="Ana"/>
    <n v="6"/>
    <n v="31.74"/>
    <x v="2"/>
    <s v="Online"/>
    <n v="190.44"/>
    <n v="31.74"/>
    <x v="24"/>
  </r>
  <r>
    <d v="2025-01-19T00:00:00"/>
    <s v="Mentoria ENEM"/>
    <x v="1"/>
    <s v="Eduarda"/>
    <n v="9"/>
    <n v="300.32"/>
    <x v="3"/>
    <s v="Loja"/>
    <n v="2702.88"/>
    <n v="300.32"/>
    <x v="24"/>
  </r>
  <r>
    <d v="2025-01-20T00:00:00"/>
    <s v="Simulado Pro"/>
    <x v="3"/>
    <s v="Diego"/>
    <n v="5"/>
    <n v="376.02"/>
    <x v="3"/>
    <s v="Online"/>
    <n v="1880.1"/>
    <n v="376.02"/>
    <x v="24"/>
  </r>
  <r>
    <d v="2025-01-21T00:00:00"/>
    <s v="Plano Premium"/>
    <x v="1"/>
    <s v="Diego"/>
    <n v="6"/>
    <n v="294.51"/>
    <x v="1"/>
    <s v="Loja"/>
    <n v="1767.06"/>
    <n v="294.51"/>
    <x v="24"/>
  </r>
  <r>
    <d v="2025-01-23T00:00:00"/>
    <s v="Simulado Pro"/>
    <x v="3"/>
    <s v="Ana"/>
    <n v="4"/>
    <n v="439.13"/>
    <x v="0"/>
    <s v="Loja"/>
    <n v="1756.52"/>
    <n v="439.13"/>
    <x v="24"/>
  </r>
  <r>
    <d v="2025-01-24T00:00:00"/>
    <s v="Simulado Pro"/>
    <x v="4"/>
    <s v="Eduarda"/>
    <n v="4"/>
    <n v="446.51"/>
    <x v="1"/>
    <s v="WhatsApp"/>
    <n v="1786.04"/>
    <n v="446.51"/>
    <x v="24"/>
  </r>
  <r>
    <d v="2025-01-25T00:00:00"/>
    <s v="Plano Premium"/>
    <x v="2"/>
    <s v="Diego"/>
    <n v="2"/>
    <n v="332.97"/>
    <x v="1"/>
    <s v="Online"/>
    <n v="665.94"/>
    <n v="332.97"/>
    <x v="24"/>
  </r>
  <r>
    <d v="2025-01-26T00:00:00"/>
    <s v="Plano Premium"/>
    <x v="1"/>
    <s v="Eduarda"/>
    <n v="9"/>
    <n v="68.25"/>
    <x v="4"/>
    <s v="Online"/>
    <n v="614.25"/>
    <n v="68.25"/>
    <x v="24"/>
  </r>
  <r>
    <d v="2025-01-27T00:00:00"/>
    <s v="Simulado Pro"/>
    <x v="2"/>
    <s v="Eduarda"/>
    <n v="9"/>
    <n v="261.36"/>
    <x v="1"/>
    <s v="Indicação"/>
    <n v="2352.2399999999998"/>
    <n v="261.35999999999996"/>
    <x v="24"/>
  </r>
  <r>
    <d v="2025-01-28T00:00:00"/>
    <s v="Curso ENEM"/>
    <x v="1"/>
    <s v="Bruno"/>
    <n v="5"/>
    <n v="290.41000000000003"/>
    <x v="2"/>
    <s v="Loja"/>
    <n v="1452.05"/>
    <n v="290.40999999999997"/>
    <x v="24"/>
  </r>
  <r>
    <d v="2025-01-29T00:00:00"/>
    <s v="Material Revisão"/>
    <x v="3"/>
    <s v="Eduarda"/>
    <n v="5"/>
    <n v="67.98"/>
    <x v="2"/>
    <s v="Loja"/>
    <n v="339.9"/>
    <n v="67.97999999999999"/>
    <x v="24"/>
  </r>
  <r>
    <d v="2025-01-30T00:00:00"/>
    <s v="Simulado Pro"/>
    <x v="3"/>
    <s v="Eduarda"/>
    <n v="4"/>
    <n v="29.41"/>
    <x v="1"/>
    <s v="Indicação"/>
    <n v="117.64"/>
    <n v="29.41"/>
    <x v="24"/>
  </r>
  <r>
    <d v="2025-01-31T00:00:00"/>
    <s v="Mentoria ENEM"/>
    <x v="2"/>
    <s v="Carla"/>
    <n v="1"/>
    <n v="297.45999999999998"/>
    <x v="0"/>
    <s v="Indicação"/>
    <n v="297.45999999999998"/>
    <n v="297.45999999999998"/>
    <x v="24"/>
  </r>
  <r>
    <d v="2025-02-01T00:00:00"/>
    <s v="Plano Premium"/>
    <x v="1"/>
    <s v="Eduarda"/>
    <n v="9"/>
    <n v="255.45"/>
    <x v="1"/>
    <s v="Online"/>
    <n v="2299.0500000000002"/>
    <n v="255.45000000000002"/>
    <x v="25"/>
  </r>
  <r>
    <d v="2025-02-02T00:00:00"/>
    <s v="Curso ENEM"/>
    <x v="3"/>
    <s v="Carla"/>
    <n v="2"/>
    <n v="151.31"/>
    <x v="4"/>
    <s v="Loja"/>
    <n v="302.62"/>
    <n v="151.31"/>
    <x v="25"/>
  </r>
  <r>
    <d v="2025-02-04T00:00:00"/>
    <s v="Plano Premium"/>
    <x v="4"/>
    <s v="Ana"/>
    <n v="1"/>
    <n v="332.19"/>
    <x v="1"/>
    <s v="WhatsApp"/>
    <n v="332.19"/>
    <n v="332.19"/>
    <x v="25"/>
  </r>
  <r>
    <d v="2025-02-05T00:00:00"/>
    <s v="Material Revisão"/>
    <x v="0"/>
    <s v="Bruno"/>
    <n v="4"/>
    <n v="436.35"/>
    <x v="1"/>
    <s v="Loja"/>
    <n v="1745.4"/>
    <n v="436.35"/>
    <x v="25"/>
  </r>
  <r>
    <d v="2025-02-06T00:00:00"/>
    <s v="Plano Premium"/>
    <x v="3"/>
    <s v="Bruno"/>
    <n v="8"/>
    <n v="432.6"/>
    <x v="2"/>
    <s v="Loja"/>
    <n v="3460.8"/>
    <n v="432.6"/>
    <x v="25"/>
  </r>
  <r>
    <d v="2025-02-07T00:00:00"/>
    <s v="Mentoria ENEM"/>
    <x v="4"/>
    <s v="Bruno"/>
    <n v="7"/>
    <n v="264.5"/>
    <x v="2"/>
    <s v="WhatsApp"/>
    <n v="1851.5"/>
    <n v="264.5"/>
    <x v="25"/>
  </r>
  <r>
    <d v="2025-02-08T00:00:00"/>
    <s v="Plano Premium"/>
    <x v="4"/>
    <s v="Diego"/>
    <n v="8"/>
    <n v="257.06"/>
    <x v="4"/>
    <s v="Online"/>
    <n v="2056.48"/>
    <n v="257.06"/>
    <x v="25"/>
  </r>
  <r>
    <d v="2025-02-09T00:00:00"/>
    <s v="Plano Premium"/>
    <x v="4"/>
    <s v="Diego"/>
    <n v="5"/>
    <n v="154.87"/>
    <x v="3"/>
    <s v="Online"/>
    <n v="774.35"/>
    <n v="154.87"/>
    <x v="25"/>
  </r>
  <r>
    <d v="2025-02-10T00:00:00"/>
    <s v="Material Revisão"/>
    <x v="4"/>
    <s v="Eduarda"/>
    <n v="8"/>
    <n v="122.33"/>
    <x v="4"/>
    <s v="WhatsApp"/>
    <n v="978.64"/>
    <n v="122.33"/>
    <x v="25"/>
  </r>
  <r>
    <d v="2025-02-11T00:00:00"/>
    <s v="Plano Premium"/>
    <x v="2"/>
    <s v="Eduarda"/>
    <n v="1"/>
    <n v="71.23"/>
    <x v="2"/>
    <s v="Indicação"/>
    <n v="71.23"/>
    <n v="71.23"/>
    <x v="25"/>
  </r>
  <r>
    <d v="2025-02-12T00:00:00"/>
    <s v="Mentoria ENEM"/>
    <x v="4"/>
    <s v="Ana"/>
    <n v="3"/>
    <n v="56.91"/>
    <x v="0"/>
    <s v="WhatsApp"/>
    <n v="170.73"/>
    <n v="56.91"/>
    <x v="25"/>
  </r>
  <r>
    <d v="2025-02-13T00:00:00"/>
    <s v="Material Revisão"/>
    <x v="1"/>
    <s v="Carla"/>
    <n v="8"/>
    <n v="20.079999999999998"/>
    <x v="3"/>
    <s v="WhatsApp"/>
    <n v="160.63999999999999"/>
    <n v="20.079999999999998"/>
    <x v="25"/>
  </r>
  <r>
    <d v="2025-02-15T00:00:00"/>
    <s v="Simulado Pro"/>
    <x v="2"/>
    <s v="Bruno"/>
    <n v="2"/>
    <n v="34.94"/>
    <x v="3"/>
    <s v="Online"/>
    <n v="69.88"/>
    <n v="34.94"/>
    <x v="25"/>
  </r>
  <r>
    <d v="2025-02-16T00:00:00"/>
    <s v="Plano Premium"/>
    <x v="3"/>
    <s v="Diego"/>
    <n v="6"/>
    <n v="145.44999999999999"/>
    <x v="1"/>
    <s v="Loja"/>
    <n v="872.69999999999993"/>
    <n v="145.44999999999999"/>
    <x v="25"/>
  </r>
  <r>
    <d v="2025-02-17T00:00:00"/>
    <s v="Mentoria ENEM"/>
    <x v="2"/>
    <s v="Diego"/>
    <n v="5"/>
    <n v="361.58"/>
    <x v="4"/>
    <s v="Indicação"/>
    <n v="1807.9"/>
    <n v="361.58000000000004"/>
    <x v="25"/>
  </r>
  <r>
    <d v="2025-02-18T00:00:00"/>
    <s v="Mentoria ENEM"/>
    <x v="4"/>
    <s v="Carla"/>
    <n v="2"/>
    <n v="132.6"/>
    <x v="4"/>
    <s v="Loja"/>
    <n v="265.2"/>
    <n v="132.6"/>
    <x v="25"/>
  </r>
  <r>
    <d v="2025-02-19T00:00:00"/>
    <s v="Plano Premium"/>
    <x v="4"/>
    <s v="Carla"/>
    <n v="2"/>
    <n v="228.66"/>
    <x v="2"/>
    <s v="Online"/>
    <n v="457.32"/>
    <n v="228.66"/>
    <x v="25"/>
  </r>
  <r>
    <d v="2025-02-20T00:00:00"/>
    <s v="Plano Premium"/>
    <x v="1"/>
    <s v="Ana"/>
    <n v="8"/>
    <n v="237.73"/>
    <x v="4"/>
    <s v="Indicação"/>
    <n v="1901.84"/>
    <n v="237.73"/>
    <x v="25"/>
  </r>
  <r>
    <d v="2025-02-21T00:00:00"/>
    <s v="Simulado Pro"/>
    <x v="4"/>
    <s v="Carla"/>
    <n v="1"/>
    <n v="345.81"/>
    <x v="2"/>
    <s v="Online"/>
    <n v="345.81"/>
    <n v="345.81"/>
    <x v="25"/>
  </r>
  <r>
    <d v="2025-02-22T00:00:00"/>
    <s v="Curso ENEM"/>
    <x v="0"/>
    <s v="Carla"/>
    <n v="3"/>
    <n v="327.63"/>
    <x v="4"/>
    <s v="Loja"/>
    <n v="982.89"/>
    <n v="327.63"/>
    <x v="25"/>
  </r>
  <r>
    <d v="2025-02-23T00:00:00"/>
    <s v="Material Revisão"/>
    <x v="2"/>
    <s v="Bruno"/>
    <n v="7"/>
    <n v="60.91"/>
    <x v="4"/>
    <s v="Online"/>
    <n v="426.37"/>
    <n v="60.910000000000004"/>
    <x v="25"/>
  </r>
  <r>
    <d v="2025-02-24T00:00:00"/>
    <s v="Plano Premium"/>
    <x v="3"/>
    <s v="Bruno"/>
    <n v="2"/>
    <n v="335.49"/>
    <x v="0"/>
    <s v="Indicação"/>
    <n v="670.98"/>
    <n v="335.49"/>
    <x v="25"/>
  </r>
  <r>
    <d v="2025-02-25T00:00:00"/>
    <s v="Mentoria ENEM"/>
    <x v="1"/>
    <s v="Bruno"/>
    <n v="8"/>
    <n v="284.24"/>
    <x v="0"/>
    <s v="Online"/>
    <n v="2273.92"/>
    <n v="284.24"/>
    <x v="25"/>
  </r>
  <r>
    <d v="2025-02-27T00:00:00"/>
    <s v="Curso ENEM"/>
    <x v="4"/>
    <s v="Ana"/>
    <n v="6"/>
    <n v="463.79"/>
    <x v="4"/>
    <s v="Online"/>
    <n v="2782.74"/>
    <n v="463.78999999999996"/>
    <x v="25"/>
  </r>
  <r>
    <d v="2025-02-28T00:00:00"/>
    <s v="Curso ENEM"/>
    <x v="4"/>
    <s v="Carla"/>
    <n v="6"/>
    <n v="35.39"/>
    <x v="3"/>
    <s v="Online"/>
    <n v="212.34"/>
    <n v="35.39"/>
    <x v="25"/>
  </r>
  <r>
    <d v="2025-03-01T00:00:00"/>
    <s v="Plano Premium"/>
    <x v="1"/>
    <s v="Ana"/>
    <n v="3"/>
    <n v="221.23"/>
    <x v="1"/>
    <s v="Online"/>
    <n v="663.68999999999994"/>
    <n v="221.23"/>
    <x v="26"/>
  </r>
  <r>
    <d v="2025-03-02T00:00:00"/>
    <s v="Simulado Pro"/>
    <x v="4"/>
    <s v="Eduarda"/>
    <n v="2"/>
    <n v="20.64"/>
    <x v="1"/>
    <s v="Online"/>
    <n v="41.28"/>
    <n v="20.64"/>
    <x v="26"/>
  </r>
  <r>
    <d v="2025-03-03T00:00:00"/>
    <s v="Material Revisão"/>
    <x v="2"/>
    <s v="Ana"/>
    <n v="1"/>
    <n v="246.16"/>
    <x v="0"/>
    <s v="Loja"/>
    <n v="246.16"/>
    <n v="246.16"/>
    <x v="26"/>
  </r>
  <r>
    <d v="2025-03-04T00:00:00"/>
    <s v="Plano Premium"/>
    <x v="0"/>
    <s v="Carla"/>
    <n v="4"/>
    <n v="368.32"/>
    <x v="3"/>
    <s v="WhatsApp"/>
    <n v="1473.28"/>
    <n v="368.32"/>
    <x v="26"/>
  </r>
  <r>
    <d v="2025-03-05T00:00:00"/>
    <s v="Simulado Pro"/>
    <x v="0"/>
    <s v="Eduarda"/>
    <n v="4"/>
    <n v="344.21"/>
    <x v="3"/>
    <s v="Online"/>
    <n v="1376.84"/>
    <n v="344.21"/>
    <x v="26"/>
  </r>
  <r>
    <d v="2025-03-06T00:00:00"/>
    <s v="Plano Premium"/>
    <x v="1"/>
    <s v="Eduarda"/>
    <n v="9"/>
    <n v="385.22"/>
    <x v="2"/>
    <s v="Online"/>
    <n v="3466.98"/>
    <n v="385.22"/>
    <x v="26"/>
  </r>
  <r>
    <d v="2025-03-07T00:00:00"/>
    <s v="Material Revisão"/>
    <x v="3"/>
    <s v="Bruno"/>
    <n v="4"/>
    <n v="85.24"/>
    <x v="4"/>
    <s v="Online"/>
    <n v="340.96"/>
    <n v="85.24"/>
    <x v="26"/>
  </r>
  <r>
    <d v="2025-03-08T00:00:00"/>
    <s v="Mentoria ENEM"/>
    <x v="1"/>
    <s v="Bruno"/>
    <n v="7"/>
    <n v="80.44"/>
    <x v="3"/>
    <s v="WhatsApp"/>
    <n v="563.07999999999993"/>
    <n v="80.439999999999984"/>
    <x v="26"/>
  </r>
  <r>
    <d v="2025-03-10T00:00:00"/>
    <s v="Mentoria ENEM"/>
    <x v="4"/>
    <s v="Bruno"/>
    <n v="4"/>
    <n v="47.33"/>
    <x v="4"/>
    <s v="WhatsApp"/>
    <n v="189.32"/>
    <n v="47.33"/>
    <x v="26"/>
  </r>
  <r>
    <d v="2025-03-11T00:00:00"/>
    <s v="Mentoria ENEM"/>
    <x v="4"/>
    <s v="Eduarda"/>
    <n v="4"/>
    <n v="477.53"/>
    <x v="4"/>
    <s v="Online"/>
    <n v="1910.12"/>
    <n v="477.53"/>
    <x v="26"/>
  </r>
  <r>
    <d v="2025-03-12T00:00:00"/>
    <s v="Material Revisão"/>
    <x v="2"/>
    <s v="Diego"/>
    <n v="1"/>
    <n v="325.02999999999997"/>
    <x v="1"/>
    <s v="Online"/>
    <n v="325.02999999999997"/>
    <n v="325.02999999999997"/>
    <x v="26"/>
  </r>
  <r>
    <d v="2025-03-13T00:00:00"/>
    <s v="Simulado Pro"/>
    <x v="0"/>
    <s v="Carla"/>
    <n v="6"/>
    <n v="307.93"/>
    <x v="1"/>
    <s v="WhatsApp"/>
    <n v="1847.58"/>
    <n v="307.93"/>
    <x v="26"/>
  </r>
  <r>
    <d v="2025-03-14T00:00:00"/>
    <s v="Plano Premium"/>
    <x v="3"/>
    <s v="Bruno"/>
    <n v="8"/>
    <n v="410.78"/>
    <x v="3"/>
    <s v="WhatsApp"/>
    <n v="3286.24"/>
    <n v="410.78"/>
    <x v="26"/>
  </r>
  <r>
    <d v="2025-03-15T00:00:00"/>
    <s v="Simulado Pro"/>
    <x v="4"/>
    <s v="Bruno"/>
    <n v="1"/>
    <n v="422.54"/>
    <x v="4"/>
    <s v="Indicação"/>
    <n v="422.54"/>
    <n v="422.54"/>
    <x v="26"/>
  </r>
  <r>
    <d v="2025-03-16T00:00:00"/>
    <s v="Material Revisão"/>
    <x v="1"/>
    <s v="Diego"/>
    <n v="5"/>
    <n v="493.21"/>
    <x v="4"/>
    <s v="WhatsApp"/>
    <n v="2466.0500000000002"/>
    <n v="493.21000000000004"/>
    <x v="26"/>
  </r>
  <r>
    <d v="2025-03-17T00:00:00"/>
    <s v="Curso ENEM"/>
    <x v="4"/>
    <s v="Bruno"/>
    <n v="8"/>
    <n v="35.450000000000003"/>
    <x v="2"/>
    <s v="Online"/>
    <n v="283.60000000000002"/>
    <n v="35.450000000000003"/>
    <x v="26"/>
  </r>
  <r>
    <d v="2025-03-18T00:00:00"/>
    <s v="Plano Premium"/>
    <x v="1"/>
    <s v="Diego"/>
    <n v="6"/>
    <n v="437.02"/>
    <x v="0"/>
    <s v="Online"/>
    <n v="2622.12"/>
    <n v="437.02"/>
    <x v="26"/>
  </r>
  <r>
    <d v="2025-03-19T00:00:00"/>
    <s v="Curso ENEM"/>
    <x v="1"/>
    <s v="Diego"/>
    <n v="2"/>
    <n v="142.19999999999999"/>
    <x v="3"/>
    <s v="WhatsApp"/>
    <n v="284.39999999999998"/>
    <n v="142.19999999999999"/>
    <x v="26"/>
  </r>
  <r>
    <d v="2025-03-21T00:00:00"/>
    <s v="Curso ENEM"/>
    <x v="2"/>
    <s v="Carla"/>
    <n v="3"/>
    <n v="393.12"/>
    <x v="3"/>
    <s v="WhatsApp"/>
    <n v="1179.3599999999999"/>
    <n v="393.11999999999995"/>
    <x v="26"/>
  </r>
  <r>
    <d v="2025-03-22T00:00:00"/>
    <s v="Plano Premium"/>
    <x v="3"/>
    <s v="Eduarda"/>
    <n v="5"/>
    <n v="494.16"/>
    <x v="0"/>
    <s v="Online"/>
    <n v="2470.8000000000002"/>
    <n v="494.16"/>
    <x v="26"/>
  </r>
  <r>
    <d v="2025-03-23T00:00:00"/>
    <s v="Material Revisão"/>
    <x v="3"/>
    <s v="Ana"/>
    <n v="7"/>
    <n v="464.33"/>
    <x v="1"/>
    <s v="WhatsApp"/>
    <n v="3250.31"/>
    <n v="464.33"/>
    <x v="26"/>
  </r>
  <r>
    <d v="2025-03-24T00:00:00"/>
    <s v="Material Revisão"/>
    <x v="0"/>
    <s v="Diego"/>
    <n v="2"/>
    <n v="38.340000000000003"/>
    <x v="1"/>
    <s v="Online"/>
    <n v="76.680000000000007"/>
    <n v="38.340000000000003"/>
    <x v="26"/>
  </r>
  <r>
    <d v="2025-03-25T00:00:00"/>
    <s v="Simulado Pro"/>
    <x v="3"/>
    <s v="Carla"/>
    <n v="3"/>
    <n v="282.97000000000003"/>
    <x v="0"/>
    <s v="Indicação"/>
    <n v="848.91000000000008"/>
    <n v="282.97000000000003"/>
    <x v="26"/>
  </r>
  <r>
    <d v="2025-03-26T00:00:00"/>
    <s v="Mentoria ENEM"/>
    <x v="4"/>
    <s v="Bruno"/>
    <n v="8"/>
    <n v="239.11"/>
    <x v="2"/>
    <s v="Indicação"/>
    <n v="1912.88"/>
    <n v="239.11"/>
    <x v="26"/>
  </r>
  <r>
    <d v="2025-03-27T00:00:00"/>
    <s v="Simulado Pro"/>
    <x v="0"/>
    <s v="Carla"/>
    <n v="3"/>
    <n v="318.04000000000002"/>
    <x v="1"/>
    <s v="Loja"/>
    <n v="954.12000000000012"/>
    <n v="318.04000000000002"/>
    <x v="26"/>
  </r>
  <r>
    <d v="2025-03-28T00:00:00"/>
    <s v="Plano Premium"/>
    <x v="3"/>
    <s v="Ana"/>
    <n v="7"/>
    <n v="476.17"/>
    <x v="4"/>
    <s v="Loja"/>
    <n v="3333.19"/>
    <n v="476.17"/>
    <x v="26"/>
  </r>
  <r>
    <d v="2025-03-29T00:00:00"/>
    <s v="Simulado Pro"/>
    <x v="1"/>
    <s v="Carla"/>
    <n v="3"/>
    <n v="235.6"/>
    <x v="2"/>
    <s v="Online"/>
    <n v="706.8"/>
    <n v="235.6"/>
    <x v="26"/>
  </r>
  <r>
    <d v="2025-03-30T00:00:00"/>
    <s v="Curso ENEM"/>
    <x v="4"/>
    <s v="Eduarda"/>
    <n v="8"/>
    <n v="35.31"/>
    <x v="1"/>
    <s v="Indicação"/>
    <n v="282.48"/>
    <n v="35.31"/>
    <x v="26"/>
  </r>
  <r>
    <d v="2025-03-31T00:00:00"/>
    <s v="Simulado Pro"/>
    <x v="4"/>
    <s v="Carla"/>
    <n v="2"/>
    <n v="390.11"/>
    <x v="4"/>
    <s v="Loja"/>
    <n v="780.22"/>
    <n v="390.11"/>
    <x v="26"/>
  </r>
  <r>
    <d v="2025-04-02T00:00:00"/>
    <s v="Mentoria ENEM"/>
    <x v="1"/>
    <s v="Carla"/>
    <n v="7"/>
    <n v="264.41000000000003"/>
    <x v="3"/>
    <s v="Loja"/>
    <n v="1850.87"/>
    <n v="264.40999999999997"/>
    <x v="27"/>
  </r>
  <r>
    <d v="2025-04-03T00:00:00"/>
    <s v="Material Revisão"/>
    <x v="1"/>
    <s v="Diego"/>
    <n v="1"/>
    <n v="452.88"/>
    <x v="0"/>
    <s v="Indicação"/>
    <n v="452.88"/>
    <n v="452.88"/>
    <x v="27"/>
  </r>
  <r>
    <d v="2025-04-04T00:00:00"/>
    <s v="Plano Premium"/>
    <x v="3"/>
    <s v="Carla"/>
    <n v="2"/>
    <n v="361.89"/>
    <x v="4"/>
    <s v="Indicação"/>
    <n v="723.78"/>
    <n v="361.89"/>
    <x v="27"/>
  </r>
  <r>
    <d v="2025-04-05T00:00:00"/>
    <s v="Mentoria ENEM"/>
    <x v="4"/>
    <s v="Carla"/>
    <n v="5"/>
    <n v="182.37"/>
    <x v="2"/>
    <s v="Loja"/>
    <n v="911.85"/>
    <n v="182.37"/>
    <x v="27"/>
  </r>
  <r>
    <d v="2025-04-06T00:00:00"/>
    <s v="Curso ENEM"/>
    <x v="1"/>
    <s v="Carla"/>
    <n v="1"/>
    <n v="304.13"/>
    <x v="2"/>
    <s v="Loja"/>
    <n v="304.13"/>
    <n v="304.13"/>
    <x v="27"/>
  </r>
  <r>
    <d v="2025-04-07T00:00:00"/>
    <s v="Simulado Pro"/>
    <x v="0"/>
    <s v="Eduarda"/>
    <n v="9"/>
    <n v="297.68"/>
    <x v="0"/>
    <s v="Online"/>
    <n v="2679.12"/>
    <n v="297.68"/>
    <x v="27"/>
  </r>
  <r>
    <d v="2025-04-08T00:00:00"/>
    <s v="Mentoria ENEM"/>
    <x v="4"/>
    <s v="Carla"/>
    <n v="9"/>
    <n v="424"/>
    <x v="1"/>
    <s v="Online"/>
    <n v="3816"/>
    <n v="424"/>
    <x v="27"/>
  </r>
  <r>
    <d v="2025-04-09T00:00:00"/>
    <s v="Plano Premium"/>
    <x v="4"/>
    <s v="Ana"/>
    <n v="7"/>
    <n v="131.76"/>
    <x v="4"/>
    <s v="WhatsApp"/>
    <n v="922.31999999999994"/>
    <n v="131.76"/>
    <x v="27"/>
  </r>
  <r>
    <d v="2025-04-10T00:00:00"/>
    <s v="Simulado Pro"/>
    <x v="1"/>
    <s v="Eduarda"/>
    <n v="7"/>
    <n v="489.97"/>
    <x v="1"/>
    <s v="Indicação"/>
    <n v="3429.79"/>
    <n v="489.96999999999997"/>
    <x v="27"/>
  </r>
  <r>
    <d v="2025-04-11T00:00:00"/>
    <s v="Curso ENEM"/>
    <x v="3"/>
    <s v="Bruno"/>
    <n v="8"/>
    <n v="332.83"/>
    <x v="0"/>
    <s v="WhatsApp"/>
    <n v="2662.64"/>
    <n v="332.83"/>
    <x v="27"/>
  </r>
  <r>
    <d v="2025-04-13T00:00:00"/>
    <s v="Simulado Pro"/>
    <x v="2"/>
    <s v="Eduarda"/>
    <n v="4"/>
    <n v="475.19"/>
    <x v="1"/>
    <s v="WhatsApp"/>
    <n v="1900.76"/>
    <n v="475.19"/>
    <x v="27"/>
  </r>
  <r>
    <d v="2025-04-14T00:00:00"/>
    <s v="Simulado Pro"/>
    <x v="0"/>
    <s v="Carla"/>
    <n v="8"/>
    <n v="454.49"/>
    <x v="4"/>
    <s v="WhatsApp"/>
    <n v="3635.92"/>
    <n v="454.49"/>
    <x v="27"/>
  </r>
  <r>
    <d v="2025-04-15T00:00:00"/>
    <s v="Material Revisão"/>
    <x v="1"/>
    <s v="Ana"/>
    <n v="5"/>
    <n v="112.61"/>
    <x v="0"/>
    <s v="Indicação"/>
    <n v="563.04999999999995"/>
    <n v="112.60999999999999"/>
    <x v="27"/>
  </r>
  <r>
    <d v="2025-04-16T00:00:00"/>
    <s v="Material Revisão"/>
    <x v="2"/>
    <s v="Carla"/>
    <n v="6"/>
    <n v="366.47"/>
    <x v="3"/>
    <s v="WhatsApp"/>
    <n v="2198.8200000000002"/>
    <n v="366.47"/>
    <x v="27"/>
  </r>
  <r>
    <d v="2025-04-17T00:00:00"/>
    <s v="Mentoria ENEM"/>
    <x v="1"/>
    <s v="Diego"/>
    <n v="2"/>
    <n v="252.68"/>
    <x v="3"/>
    <s v="WhatsApp"/>
    <n v="505.36"/>
    <n v="252.68"/>
    <x v="27"/>
  </r>
  <r>
    <d v="2025-04-18T00:00:00"/>
    <s v="Mentoria ENEM"/>
    <x v="1"/>
    <s v="Eduarda"/>
    <n v="3"/>
    <n v="65.81"/>
    <x v="0"/>
    <s v="WhatsApp"/>
    <n v="197.43"/>
    <n v="65.81"/>
    <x v="27"/>
  </r>
  <r>
    <d v="2025-04-19T00:00:00"/>
    <s v="Material Revisão"/>
    <x v="4"/>
    <s v="Eduarda"/>
    <n v="2"/>
    <n v="206.6"/>
    <x v="2"/>
    <s v="WhatsApp"/>
    <n v="413.2"/>
    <n v="206.6"/>
    <x v="27"/>
  </r>
  <r>
    <d v="2025-04-20T00:00:00"/>
    <s v="Curso ENEM"/>
    <x v="4"/>
    <s v="Ana"/>
    <n v="9"/>
    <n v="403.79"/>
    <x v="3"/>
    <s v="Loja"/>
    <n v="3634.11"/>
    <n v="403.79"/>
    <x v="27"/>
  </r>
  <r>
    <d v="2025-04-21T00:00:00"/>
    <s v="Mentoria ENEM"/>
    <x v="1"/>
    <s v="Eduarda"/>
    <n v="8"/>
    <n v="96.8"/>
    <x v="1"/>
    <s v="Online"/>
    <n v="774.4"/>
    <n v="96.8"/>
    <x v="27"/>
  </r>
  <r>
    <d v="2025-04-22T00:00:00"/>
    <s v="Plano Premium"/>
    <x v="3"/>
    <s v="Diego"/>
    <n v="2"/>
    <n v="111.03"/>
    <x v="4"/>
    <s v="Online"/>
    <n v="222.06"/>
    <n v="111.03"/>
    <x v="27"/>
  </r>
  <r>
    <d v="2025-04-23T00:00:00"/>
    <s v="Plano Premium"/>
    <x v="2"/>
    <s v="Carla"/>
    <n v="1"/>
    <n v="255.38"/>
    <x v="2"/>
    <s v="Loja"/>
    <n v="255.38"/>
    <n v="255.38"/>
    <x v="27"/>
  </r>
  <r>
    <d v="2025-04-25T00:00:00"/>
    <s v="Simulado Pro"/>
    <x v="4"/>
    <s v="Carla"/>
    <n v="5"/>
    <n v="26.38"/>
    <x v="4"/>
    <s v="Online"/>
    <n v="131.9"/>
    <n v="26.380000000000003"/>
    <x v="27"/>
  </r>
  <r>
    <d v="2025-04-26T00:00:00"/>
    <s v="Plano Premium"/>
    <x v="0"/>
    <s v="Bruno"/>
    <n v="5"/>
    <n v="425.63"/>
    <x v="4"/>
    <s v="Online"/>
    <n v="2128.15"/>
    <n v="425.63"/>
    <x v="27"/>
  </r>
  <r>
    <d v="2025-04-27T00:00:00"/>
    <s v="Curso ENEM"/>
    <x v="3"/>
    <s v="Eduarda"/>
    <n v="5"/>
    <n v="121.75"/>
    <x v="3"/>
    <s v="Loja"/>
    <n v="608.75"/>
    <n v="121.75"/>
    <x v="27"/>
  </r>
  <r>
    <d v="2025-04-28T00:00:00"/>
    <s v="Simulado Pro"/>
    <x v="2"/>
    <s v="Ana"/>
    <n v="6"/>
    <n v="29.53"/>
    <x v="4"/>
    <s v="Indicação"/>
    <n v="177.18"/>
    <n v="29.53"/>
    <x v="27"/>
  </r>
  <r>
    <d v="2025-04-29T00:00:00"/>
    <s v="Material Revisão"/>
    <x v="3"/>
    <s v="Eduarda"/>
    <n v="7"/>
    <n v="418.35"/>
    <x v="2"/>
    <s v="WhatsApp"/>
    <n v="2928.45"/>
    <n v="418.34999999999997"/>
    <x v="27"/>
  </r>
  <r>
    <d v="2025-04-30T00:00:00"/>
    <s v="Plano Premium"/>
    <x v="2"/>
    <s v="Eduarda"/>
    <n v="1"/>
    <n v="487.65"/>
    <x v="4"/>
    <s v="Online"/>
    <n v="487.65"/>
    <n v="487.65"/>
    <x v="27"/>
  </r>
  <r>
    <d v="2025-05-01T00:00:00"/>
    <s v="Mentoria ENEM"/>
    <x v="1"/>
    <s v="Ana"/>
    <n v="2"/>
    <n v="306.95999999999998"/>
    <x v="2"/>
    <s v="WhatsApp"/>
    <n v="613.91999999999996"/>
    <n v="306.95999999999998"/>
    <x v="28"/>
  </r>
  <r>
    <d v="2025-05-02T00:00:00"/>
    <s v="Plano Premium"/>
    <x v="2"/>
    <s v="Bruno"/>
    <n v="6"/>
    <n v="481.35"/>
    <x v="3"/>
    <s v="Loja"/>
    <n v="2888.1"/>
    <n v="481.34999999999997"/>
    <x v="28"/>
  </r>
  <r>
    <d v="2025-05-03T00:00:00"/>
    <s v="Mentoria ENEM"/>
    <x v="0"/>
    <s v="Carla"/>
    <n v="7"/>
    <n v="451.1"/>
    <x v="2"/>
    <s v="WhatsApp"/>
    <n v="3157.7"/>
    <n v="451.09999999999997"/>
    <x v="28"/>
  </r>
  <r>
    <d v="2025-05-04T00:00:00"/>
    <s v="Simulado Pro"/>
    <x v="2"/>
    <s v="Bruno"/>
    <n v="9"/>
    <n v="188.7"/>
    <x v="4"/>
    <s v="Online"/>
    <n v="1698.3"/>
    <n v="188.7"/>
    <x v="28"/>
  </r>
  <r>
    <d v="2025-05-06T00:00:00"/>
    <s v="Material Revisão"/>
    <x v="4"/>
    <s v="Ana"/>
    <n v="8"/>
    <n v="108.53"/>
    <x v="3"/>
    <s v="WhatsApp"/>
    <n v="868.24"/>
    <n v="108.53"/>
    <x v="28"/>
  </r>
  <r>
    <d v="2025-05-07T00:00:00"/>
    <s v="Plano Premium"/>
    <x v="4"/>
    <s v="Bruno"/>
    <n v="7"/>
    <n v="305.16000000000003"/>
    <x v="4"/>
    <s v="WhatsApp"/>
    <n v="2136.12"/>
    <n v="305.15999999999997"/>
    <x v="28"/>
  </r>
  <r>
    <d v="2025-05-08T00:00:00"/>
    <s v="Mentoria ENEM"/>
    <x v="1"/>
    <s v="Bruno"/>
    <n v="2"/>
    <n v="255.93"/>
    <x v="4"/>
    <s v="Indicação"/>
    <n v="511.86"/>
    <n v="255.93"/>
    <x v="28"/>
  </r>
  <r>
    <d v="2025-05-09T00:00:00"/>
    <s v="Simulado Pro"/>
    <x v="3"/>
    <s v="Bruno"/>
    <n v="5"/>
    <n v="44.86"/>
    <x v="4"/>
    <s v="WhatsApp"/>
    <n v="224.3"/>
    <n v="44.86"/>
    <x v="28"/>
  </r>
  <r>
    <d v="2025-05-10T00:00:00"/>
    <s v="Simulado Pro"/>
    <x v="2"/>
    <s v="Carla"/>
    <n v="1"/>
    <n v="27.5"/>
    <x v="0"/>
    <s v="Loja"/>
    <n v="27.5"/>
    <n v="27.5"/>
    <x v="28"/>
  </r>
  <r>
    <d v="2025-05-11T00:00:00"/>
    <s v="Mentoria ENEM"/>
    <x v="1"/>
    <s v="Bruno"/>
    <n v="7"/>
    <n v="62.95"/>
    <x v="3"/>
    <s v="Online"/>
    <n v="440.65"/>
    <n v="62.949999999999996"/>
    <x v="28"/>
  </r>
  <r>
    <d v="2025-05-12T00:00:00"/>
    <s v="Material Revisão"/>
    <x v="1"/>
    <s v="Eduarda"/>
    <n v="5"/>
    <n v="311.27999999999997"/>
    <x v="0"/>
    <s v="Indicação"/>
    <n v="1556.4"/>
    <n v="311.28000000000003"/>
    <x v="28"/>
  </r>
  <r>
    <d v="2025-05-13T00:00:00"/>
    <s v="Plano Premium"/>
    <x v="0"/>
    <s v="Carla"/>
    <n v="8"/>
    <n v="255.89"/>
    <x v="2"/>
    <s v="Loja"/>
    <n v="2047.12"/>
    <n v="255.89"/>
    <x v="28"/>
  </r>
  <r>
    <d v="2025-05-14T00:00:00"/>
    <s v="Mentoria ENEM"/>
    <x v="4"/>
    <s v="Ana"/>
    <n v="6"/>
    <n v="360.07"/>
    <x v="4"/>
    <s v="WhatsApp"/>
    <n v="2160.42"/>
    <n v="360.07"/>
    <x v="28"/>
  </r>
  <r>
    <d v="2025-05-15T00:00:00"/>
    <s v="Plano Premium"/>
    <x v="0"/>
    <s v="Carla"/>
    <n v="5"/>
    <n v="252.82"/>
    <x v="3"/>
    <s v="WhatsApp"/>
    <n v="1264.0999999999999"/>
    <n v="252.82"/>
    <x v="28"/>
  </r>
  <r>
    <d v="2025-05-17T00:00:00"/>
    <s v="Plano Premium"/>
    <x v="4"/>
    <s v="Eduarda"/>
    <n v="7"/>
    <n v="58.39"/>
    <x v="0"/>
    <s v="WhatsApp"/>
    <n v="408.73"/>
    <n v="58.39"/>
    <x v="28"/>
  </r>
  <r>
    <d v="2025-05-18T00:00:00"/>
    <s v="Curso ENEM"/>
    <x v="2"/>
    <s v="Diego"/>
    <n v="1"/>
    <n v="488.19"/>
    <x v="1"/>
    <s v="Indicação"/>
    <n v="488.19"/>
    <n v="488.19"/>
    <x v="28"/>
  </r>
  <r>
    <d v="2025-05-19T00:00:00"/>
    <s v="Mentoria ENEM"/>
    <x v="4"/>
    <s v="Carla"/>
    <n v="8"/>
    <n v="327.68"/>
    <x v="2"/>
    <s v="Online"/>
    <n v="2621.44"/>
    <n v="327.68"/>
    <x v="28"/>
  </r>
  <r>
    <d v="2025-05-20T00:00:00"/>
    <s v="Plano Premium"/>
    <x v="3"/>
    <s v="Eduarda"/>
    <n v="4"/>
    <n v="96.41"/>
    <x v="4"/>
    <s v="Loja"/>
    <n v="385.64"/>
    <n v="96.41"/>
    <x v="28"/>
  </r>
  <r>
    <d v="2025-05-21T00:00:00"/>
    <s v="Material Revisão"/>
    <x v="1"/>
    <s v="Bruno"/>
    <n v="1"/>
    <n v="487"/>
    <x v="4"/>
    <s v="Indicação"/>
    <n v="487"/>
    <n v="487"/>
    <x v="28"/>
  </r>
  <r>
    <d v="2025-05-22T00:00:00"/>
    <s v="Plano Premium"/>
    <x v="2"/>
    <s v="Diego"/>
    <n v="7"/>
    <n v="53.45"/>
    <x v="4"/>
    <s v="Indicação"/>
    <n v="374.15"/>
    <n v="53.449999999999996"/>
    <x v="28"/>
  </r>
  <r>
    <d v="2025-05-23T00:00:00"/>
    <s v="Curso ENEM"/>
    <x v="1"/>
    <s v="Ana"/>
    <n v="9"/>
    <n v="70.09"/>
    <x v="1"/>
    <s v="Indicação"/>
    <n v="630.81000000000006"/>
    <n v="70.09"/>
    <x v="28"/>
  </r>
  <r>
    <d v="2025-05-24T00:00:00"/>
    <s v="Simulado Pro"/>
    <x v="0"/>
    <s v="Diego"/>
    <n v="9"/>
    <n v="39.86"/>
    <x v="0"/>
    <s v="Online"/>
    <n v="358.74"/>
    <n v="39.86"/>
    <x v="28"/>
  </r>
  <r>
    <d v="2025-05-25T00:00:00"/>
    <s v="Curso ENEM"/>
    <x v="2"/>
    <s v="Diego"/>
    <n v="7"/>
    <n v="364.45"/>
    <x v="3"/>
    <s v="Loja"/>
    <n v="2551.15"/>
    <n v="364.45"/>
    <x v="28"/>
  </r>
  <r>
    <d v="2025-05-26T00:00:00"/>
    <s v="Simulado Pro"/>
    <x v="3"/>
    <s v="Diego"/>
    <n v="2"/>
    <n v="482.04"/>
    <x v="4"/>
    <s v="WhatsApp"/>
    <n v="964.08"/>
    <n v="482.04"/>
    <x v="28"/>
  </r>
  <r>
    <d v="2025-05-27T00:00:00"/>
    <s v="Mentoria ENEM"/>
    <x v="1"/>
    <s v="Bruno"/>
    <n v="1"/>
    <n v="248.17"/>
    <x v="4"/>
    <s v="Loja"/>
    <n v="248.17"/>
    <n v="248.17"/>
    <x v="28"/>
  </r>
  <r>
    <d v="2025-05-29T00:00:00"/>
    <s v="Simulado Pro"/>
    <x v="1"/>
    <s v="Ana"/>
    <n v="6"/>
    <n v="173.69"/>
    <x v="2"/>
    <s v="Loja"/>
    <n v="1042.1400000000001"/>
    <n v="173.69000000000003"/>
    <x v="28"/>
  </r>
  <r>
    <d v="2025-05-30T00:00:00"/>
    <s v="Material Revisão"/>
    <x v="2"/>
    <s v="Ana"/>
    <n v="9"/>
    <n v="150.41999999999999"/>
    <x v="2"/>
    <s v="WhatsApp"/>
    <n v="1353.78"/>
    <n v="150.41999999999999"/>
    <x v="28"/>
  </r>
  <r>
    <d v="2025-05-31T00:00:00"/>
    <s v="Material Revisão"/>
    <x v="1"/>
    <s v="Ana"/>
    <n v="6"/>
    <n v="20.79"/>
    <x v="1"/>
    <s v="WhatsApp"/>
    <n v="124.74"/>
    <n v="20.79"/>
    <x v="28"/>
  </r>
  <r>
    <d v="2025-06-01T00:00:00"/>
    <s v="Material Revisão"/>
    <x v="3"/>
    <s v="Bruno"/>
    <n v="1"/>
    <n v="484.78"/>
    <x v="0"/>
    <s v="Online"/>
    <n v="484.78"/>
    <n v="484.78"/>
    <x v="29"/>
  </r>
  <r>
    <d v="2025-06-02T00:00:00"/>
    <s v="Plano Premium"/>
    <x v="0"/>
    <s v="Bruno"/>
    <n v="6"/>
    <n v="434.79"/>
    <x v="1"/>
    <s v="Loja"/>
    <n v="2608.7399999999998"/>
    <n v="434.78999999999996"/>
    <x v="29"/>
  </r>
  <r>
    <d v="2025-06-03T00:00:00"/>
    <s v="Curso ENEM"/>
    <x v="2"/>
    <s v="Eduarda"/>
    <n v="4"/>
    <n v="280.63"/>
    <x v="2"/>
    <s v="Indicação"/>
    <n v="1122.52"/>
    <n v="280.63"/>
    <x v="29"/>
  </r>
  <r>
    <d v="2025-06-04T00:00:00"/>
    <s v="Curso ENEM"/>
    <x v="1"/>
    <s v="Bruno"/>
    <n v="6"/>
    <n v="159.36000000000001"/>
    <x v="1"/>
    <s v="Online"/>
    <n v="956.16000000000008"/>
    <n v="159.36000000000001"/>
    <x v="29"/>
  </r>
  <r>
    <d v="2025-06-05T00:00:00"/>
    <s v="Simulado Pro"/>
    <x v="4"/>
    <s v="Bruno"/>
    <n v="5"/>
    <n v="392.6"/>
    <x v="2"/>
    <s v="WhatsApp"/>
    <n v="1963"/>
    <n v="392.6"/>
    <x v="29"/>
  </r>
  <r>
    <d v="2025-06-06T00:00:00"/>
    <s v="Material Revisão"/>
    <x v="4"/>
    <s v="Carla"/>
    <n v="4"/>
    <n v="219.06"/>
    <x v="4"/>
    <s v="Online"/>
    <n v="876.24"/>
    <n v="219.06"/>
    <x v="29"/>
  </r>
  <r>
    <d v="2025-06-07T00:00:00"/>
    <s v="Mentoria ENEM"/>
    <x v="0"/>
    <s v="Carla"/>
    <n v="1"/>
    <n v="491.53"/>
    <x v="0"/>
    <s v="Indicação"/>
    <n v="491.53"/>
    <n v="491.53"/>
    <x v="29"/>
  </r>
  <r>
    <d v="2025-06-09T00:00:00"/>
    <s v="Curso ENEM"/>
    <x v="4"/>
    <s v="Diego"/>
    <n v="7"/>
    <n v="231.97"/>
    <x v="4"/>
    <s v="Loja"/>
    <n v="1623.79"/>
    <n v="231.97"/>
    <x v="29"/>
  </r>
  <r>
    <d v="2025-06-10T00:00:00"/>
    <s v="Plano Premium"/>
    <x v="0"/>
    <s v="Bruno"/>
    <n v="1"/>
    <n v="449.5"/>
    <x v="1"/>
    <s v="Loja"/>
    <n v="449.5"/>
    <n v="449.5"/>
    <x v="29"/>
  </r>
  <r>
    <d v="2025-06-11T00:00:00"/>
    <s v="Curso ENEM"/>
    <x v="4"/>
    <s v="Bruno"/>
    <n v="6"/>
    <n v="438.54"/>
    <x v="0"/>
    <s v="Loja"/>
    <n v="2631.24"/>
    <n v="438.53999999999996"/>
    <x v="29"/>
  </r>
  <r>
    <d v="2025-06-12T00:00:00"/>
    <s v="Material Revisão"/>
    <x v="0"/>
    <s v="Ana"/>
    <n v="8"/>
    <n v="379.38"/>
    <x v="0"/>
    <s v="WhatsApp"/>
    <n v="3035.04"/>
    <n v="379.38"/>
    <x v="29"/>
  </r>
  <r>
    <d v="2025-06-13T00:00:00"/>
    <s v="Simulado Pro"/>
    <x v="3"/>
    <s v="Diego"/>
    <n v="1"/>
    <n v="318.63"/>
    <x v="1"/>
    <s v="Online"/>
    <n v="318.63"/>
    <n v="318.63"/>
    <x v="29"/>
  </r>
  <r>
    <d v="2025-06-14T00:00:00"/>
    <s v="Simulado Pro"/>
    <x v="1"/>
    <s v="Eduarda"/>
    <n v="1"/>
    <n v="235.11"/>
    <x v="1"/>
    <s v="WhatsApp"/>
    <n v="235.11"/>
    <n v="235.11"/>
    <x v="29"/>
  </r>
  <r>
    <d v="2025-06-15T00:00:00"/>
    <s v="Mentoria ENEM"/>
    <x v="3"/>
    <s v="Ana"/>
    <n v="4"/>
    <n v="386.44"/>
    <x v="4"/>
    <s v="Loja"/>
    <n v="1545.76"/>
    <n v="386.44"/>
    <x v="29"/>
  </r>
  <r>
    <d v="2025-06-16T00:00:00"/>
    <s v="Curso ENEM"/>
    <x v="3"/>
    <s v="Ana"/>
    <n v="2"/>
    <n v="207.86"/>
    <x v="2"/>
    <s v="WhatsApp"/>
    <n v="415.72"/>
    <n v="207.86"/>
    <x v="29"/>
  </r>
  <r>
    <d v="2025-06-17T00:00:00"/>
    <s v="Curso ENEM"/>
    <x v="0"/>
    <s v="Diego"/>
    <n v="8"/>
    <n v="269.02999999999997"/>
    <x v="4"/>
    <s v="Loja"/>
    <n v="2152.2399999999998"/>
    <n v="269.02999999999997"/>
    <x v="29"/>
  </r>
  <r>
    <d v="2025-06-18T00:00:00"/>
    <s v="Simulado Pro"/>
    <x v="2"/>
    <s v="Carla"/>
    <n v="3"/>
    <n v="479.27"/>
    <x v="3"/>
    <s v="Indicação"/>
    <n v="1437.81"/>
    <n v="479.27"/>
    <x v="29"/>
  </r>
  <r>
    <d v="2025-06-19T00:00:00"/>
    <s v="Material Revisão"/>
    <x v="2"/>
    <s v="Ana"/>
    <n v="1"/>
    <n v="433.72"/>
    <x v="4"/>
    <s v="Online"/>
    <n v="433.72"/>
    <n v="433.72"/>
    <x v="29"/>
  </r>
  <r>
    <d v="2025-06-21T00:00:00"/>
    <s v="Material Revisão"/>
    <x v="0"/>
    <s v="Ana"/>
    <n v="2"/>
    <n v="351.11"/>
    <x v="0"/>
    <s v="Online"/>
    <n v="702.22"/>
    <n v="351.11"/>
    <x v="29"/>
  </r>
  <r>
    <d v="2025-06-22T00:00:00"/>
    <s v="Mentoria ENEM"/>
    <x v="1"/>
    <s v="Bruno"/>
    <n v="6"/>
    <n v="281.52"/>
    <x v="0"/>
    <s v="Loja"/>
    <n v="1689.12"/>
    <n v="281.52"/>
    <x v="29"/>
  </r>
  <r>
    <d v="2025-06-23T00:00:00"/>
    <s v="Curso ENEM"/>
    <x v="3"/>
    <s v="Carla"/>
    <n v="6"/>
    <n v="31.65"/>
    <x v="1"/>
    <s v="Online"/>
    <n v="189.9"/>
    <n v="31.650000000000002"/>
    <x v="29"/>
  </r>
  <r>
    <d v="2025-06-24T00:00:00"/>
    <s v="Simulado Pro"/>
    <x v="1"/>
    <s v="Carla"/>
    <n v="4"/>
    <n v="182.9"/>
    <x v="1"/>
    <s v="Loja"/>
    <n v="731.6"/>
    <n v="182.9"/>
    <x v="29"/>
  </r>
  <r>
    <d v="2025-06-25T00:00:00"/>
    <s v="Material Revisão"/>
    <x v="1"/>
    <s v="Eduarda"/>
    <n v="7"/>
    <n v="373.69"/>
    <x v="1"/>
    <s v="Loja"/>
    <n v="2615.83"/>
    <n v="373.69"/>
    <x v="29"/>
  </r>
  <r>
    <d v="2025-06-26T00:00:00"/>
    <s v="Plano Premium"/>
    <x v="4"/>
    <s v="Eduarda"/>
    <n v="1"/>
    <n v="425.25"/>
    <x v="0"/>
    <s v="Indicação"/>
    <n v="425.25"/>
    <n v="425.25"/>
    <x v="29"/>
  </r>
  <r>
    <d v="2025-06-27T00:00:00"/>
    <s v="Simulado Pro"/>
    <x v="0"/>
    <s v="Diego"/>
    <n v="2"/>
    <n v="235.98"/>
    <x v="4"/>
    <s v="Online"/>
    <n v="471.96"/>
    <n v="235.98"/>
    <x v="29"/>
  </r>
  <r>
    <d v="2025-06-28T00:00:00"/>
    <s v="Mentoria ENEM"/>
    <x v="2"/>
    <s v="Bruno"/>
    <n v="8"/>
    <n v="316.92"/>
    <x v="1"/>
    <s v="Online"/>
    <n v="2535.36"/>
    <n v="316.92"/>
    <x v="29"/>
  </r>
  <r>
    <d v="2025-06-29T00:00:00"/>
    <s v="Simulado Pro"/>
    <x v="2"/>
    <s v="Diego"/>
    <n v="9"/>
    <n v="68.5"/>
    <x v="3"/>
    <s v="Indicação"/>
    <n v="616.5"/>
    <n v="68.5"/>
    <x v="29"/>
  </r>
  <r>
    <d v="2025-06-30T00:00:00"/>
    <s v="Simulado Pro"/>
    <x v="2"/>
    <s v="Carla"/>
    <n v="3"/>
    <n v="264.8"/>
    <x v="2"/>
    <s v="Loja"/>
    <n v="794.40000000000009"/>
    <n v="264.8"/>
    <x v="29"/>
  </r>
  <r>
    <d v="2025-07-02T00:00:00"/>
    <s v="Mentoria ENEM"/>
    <x v="1"/>
    <s v="Diego"/>
    <n v="3"/>
    <n v="56.86"/>
    <x v="0"/>
    <s v="WhatsApp"/>
    <n v="170.58"/>
    <n v="56.860000000000007"/>
    <x v="30"/>
  </r>
  <r>
    <d v="2025-07-03T00:00:00"/>
    <s v="Simulado Pro"/>
    <x v="0"/>
    <s v="Ana"/>
    <n v="8"/>
    <n v="109.34"/>
    <x v="4"/>
    <s v="Loja"/>
    <n v="874.72"/>
    <n v="109.34"/>
    <x v="30"/>
  </r>
  <r>
    <d v="2025-07-04T00:00:00"/>
    <s v="Simulado Pro"/>
    <x v="1"/>
    <s v="Diego"/>
    <n v="4"/>
    <n v="358.55"/>
    <x v="4"/>
    <s v="Online"/>
    <n v="1434.2"/>
    <n v="358.55"/>
    <x v="30"/>
  </r>
  <r>
    <d v="2025-07-05T00:00:00"/>
    <s v="Material Revisão"/>
    <x v="4"/>
    <s v="Ana"/>
    <n v="6"/>
    <n v="480.72"/>
    <x v="0"/>
    <s v="Loja"/>
    <n v="2884.32"/>
    <n v="480.72"/>
    <x v="30"/>
  </r>
  <r>
    <d v="2025-07-06T00:00:00"/>
    <s v="Mentoria ENEM"/>
    <x v="1"/>
    <s v="Bruno"/>
    <n v="3"/>
    <n v="333.99"/>
    <x v="0"/>
    <s v="Loja"/>
    <n v="1001.97"/>
    <n v="333.99"/>
    <x v="30"/>
  </r>
  <r>
    <d v="2025-07-07T00:00:00"/>
    <s v="Material Revisão"/>
    <x v="0"/>
    <s v="Ana"/>
    <n v="1"/>
    <n v="282.48"/>
    <x v="0"/>
    <s v="Online"/>
    <n v="282.48"/>
    <n v="282.48"/>
    <x v="30"/>
  </r>
  <r>
    <d v="2025-07-08T00:00:00"/>
    <s v="Plano Premium"/>
    <x v="0"/>
    <s v="Ana"/>
    <n v="1"/>
    <n v="339.06"/>
    <x v="2"/>
    <s v="Online"/>
    <n v="339.06"/>
    <n v="339.06"/>
    <x v="30"/>
  </r>
  <r>
    <d v="2025-07-09T00:00:00"/>
    <s v="Mentoria ENEM"/>
    <x v="0"/>
    <s v="Bruno"/>
    <n v="5"/>
    <n v="296.76"/>
    <x v="4"/>
    <s v="Loja"/>
    <n v="1483.8"/>
    <n v="296.76"/>
    <x v="30"/>
  </r>
  <r>
    <d v="2025-07-10T00:00:00"/>
    <s v="Mentoria ENEM"/>
    <x v="3"/>
    <s v="Diego"/>
    <n v="8"/>
    <n v="257.61"/>
    <x v="3"/>
    <s v="WhatsApp"/>
    <n v="2060.88"/>
    <n v="257.61"/>
    <x v="30"/>
  </r>
  <r>
    <d v="2025-07-11T00:00:00"/>
    <s v="Mentoria ENEM"/>
    <x v="4"/>
    <s v="Carla"/>
    <n v="7"/>
    <n v="330.93"/>
    <x v="1"/>
    <s v="Indicação"/>
    <n v="2316.5100000000002"/>
    <n v="330.93"/>
    <x v="30"/>
  </r>
  <r>
    <d v="2025-07-13T00:00:00"/>
    <s v="Simulado Pro"/>
    <x v="4"/>
    <s v="Eduarda"/>
    <n v="2"/>
    <n v="248.05"/>
    <x v="1"/>
    <s v="Loja"/>
    <n v="496.1"/>
    <n v="248.05"/>
    <x v="30"/>
  </r>
  <r>
    <d v="2025-07-14T00:00:00"/>
    <s v="Material Revisão"/>
    <x v="0"/>
    <s v="Bruno"/>
    <n v="3"/>
    <n v="296.08999999999997"/>
    <x v="4"/>
    <s v="Online"/>
    <n v="888.27"/>
    <n v="296.08999999999997"/>
    <x v="30"/>
  </r>
  <r>
    <d v="2025-07-15T00:00:00"/>
    <s v="Mentoria ENEM"/>
    <x v="3"/>
    <s v="Diego"/>
    <n v="4"/>
    <n v="411.79"/>
    <x v="2"/>
    <s v="WhatsApp"/>
    <n v="1647.16"/>
    <n v="411.79"/>
    <x v="30"/>
  </r>
  <r>
    <d v="2025-07-16T00:00:00"/>
    <s v="Curso ENEM"/>
    <x v="2"/>
    <s v="Ana"/>
    <n v="6"/>
    <n v="39.36"/>
    <x v="0"/>
    <s v="Loja"/>
    <n v="236.16"/>
    <n v="39.36"/>
    <x v="30"/>
  </r>
  <r>
    <d v="2025-07-17T00:00:00"/>
    <s v="Simulado Pro"/>
    <x v="1"/>
    <s v="Carla"/>
    <n v="2"/>
    <n v="334.91"/>
    <x v="4"/>
    <s v="Online"/>
    <n v="669.82"/>
    <n v="334.91"/>
    <x v="30"/>
  </r>
  <r>
    <d v="2025-07-18T00:00:00"/>
    <s v="Material Revisão"/>
    <x v="2"/>
    <s v="Carla"/>
    <n v="9"/>
    <n v="351.46"/>
    <x v="3"/>
    <s v="WhatsApp"/>
    <n v="3163.14"/>
    <n v="351.46"/>
    <x v="30"/>
  </r>
  <r>
    <d v="2025-07-19T00:00:00"/>
    <s v="Plano Premium"/>
    <x v="3"/>
    <s v="Carla"/>
    <n v="8"/>
    <n v="108.57"/>
    <x v="2"/>
    <s v="Loja"/>
    <n v="868.56"/>
    <n v="108.57"/>
    <x v="30"/>
  </r>
  <r>
    <d v="2025-07-20T00:00:00"/>
    <s v="Curso ENEM"/>
    <x v="0"/>
    <s v="Eduarda"/>
    <n v="8"/>
    <n v="477.49"/>
    <x v="4"/>
    <s v="Online"/>
    <n v="3819.92"/>
    <n v="477.49"/>
    <x v="30"/>
  </r>
  <r>
    <d v="2025-07-21T00:00:00"/>
    <s v="Material Revisão"/>
    <x v="1"/>
    <s v="Diego"/>
    <n v="3"/>
    <n v="386.01"/>
    <x v="3"/>
    <s v="Indicação"/>
    <n v="1158.03"/>
    <n v="386.01"/>
    <x v="30"/>
  </r>
  <r>
    <d v="2025-07-22T00:00:00"/>
    <s v="Simulado Pro"/>
    <x v="2"/>
    <s v="Eduarda"/>
    <n v="6"/>
    <n v="156.15"/>
    <x v="3"/>
    <s v="Loja"/>
    <n v="936.90000000000009"/>
    <n v="156.15"/>
    <x v="30"/>
  </r>
  <r>
    <d v="2025-07-23T00:00:00"/>
    <s v="Simulado Pro"/>
    <x v="1"/>
    <s v="Ana"/>
    <n v="1"/>
    <n v="162.19"/>
    <x v="3"/>
    <s v="WhatsApp"/>
    <n v="162.19"/>
    <n v="162.19"/>
    <x v="30"/>
  </r>
  <r>
    <d v="2025-07-25T00:00:00"/>
    <s v="Curso ENEM"/>
    <x v="4"/>
    <s v="Carla"/>
    <n v="7"/>
    <n v="365.27"/>
    <x v="1"/>
    <s v="Online"/>
    <n v="2556.89"/>
    <n v="365.27"/>
    <x v="30"/>
  </r>
  <r>
    <d v="2025-07-26T00:00:00"/>
    <s v="Material Revisão"/>
    <x v="3"/>
    <s v="Ana"/>
    <n v="5"/>
    <n v="164.28"/>
    <x v="3"/>
    <s v="Online"/>
    <n v="821.4"/>
    <n v="164.28"/>
    <x v="30"/>
  </r>
  <r>
    <d v="2025-07-27T00:00:00"/>
    <s v="Material Revisão"/>
    <x v="0"/>
    <s v="Eduarda"/>
    <n v="5"/>
    <n v="201.79"/>
    <x v="2"/>
    <s v="Loja"/>
    <n v="1008.95"/>
    <n v="201.79000000000002"/>
    <x v="30"/>
  </r>
  <r>
    <d v="2025-07-28T00:00:00"/>
    <s v="Simulado Pro"/>
    <x v="2"/>
    <s v="Diego"/>
    <n v="1"/>
    <n v="102.9"/>
    <x v="4"/>
    <s v="Online"/>
    <n v="102.9"/>
    <n v="102.9"/>
    <x v="30"/>
  </r>
  <r>
    <d v="2025-07-29T00:00:00"/>
    <s v="Material Revisão"/>
    <x v="4"/>
    <s v="Eduarda"/>
    <n v="1"/>
    <n v="302.95"/>
    <x v="3"/>
    <s v="Online"/>
    <n v="302.95"/>
    <n v="302.95"/>
    <x v="30"/>
  </r>
  <r>
    <d v="2025-07-30T00:00:00"/>
    <s v="Material Revisão"/>
    <x v="0"/>
    <s v="Carla"/>
    <n v="8"/>
    <n v="357.67"/>
    <x v="4"/>
    <s v="Online"/>
    <n v="2861.36"/>
    <n v="357.67"/>
    <x v="30"/>
  </r>
  <r>
    <d v="2025-07-31T00:00:00"/>
    <s v="Simulado Pro"/>
    <x v="0"/>
    <s v="Bruno"/>
    <n v="7"/>
    <n v="266.7"/>
    <x v="0"/>
    <s v="Loja"/>
    <n v="1866.9"/>
    <n v="266.7"/>
    <x v="30"/>
  </r>
  <r>
    <d v="2025-08-01T00:00:00"/>
    <s v="Material Revisão"/>
    <x v="3"/>
    <s v="Diego"/>
    <n v="7"/>
    <n v="285.95"/>
    <x v="4"/>
    <s v="Indicação"/>
    <n v="2001.65"/>
    <n v="285.95"/>
    <x v="31"/>
  </r>
  <r>
    <d v="2025-08-02T00:00:00"/>
    <s v="Material Revisão"/>
    <x v="0"/>
    <s v="Bruno"/>
    <n v="9"/>
    <n v="371.38"/>
    <x v="0"/>
    <s v="Loja"/>
    <n v="3342.42"/>
    <n v="371.38"/>
    <x v="31"/>
  </r>
  <r>
    <d v="2025-08-03T00:00:00"/>
    <s v="Material Revisão"/>
    <x v="4"/>
    <s v="Bruno"/>
    <n v="7"/>
    <n v="73.709999999999994"/>
    <x v="1"/>
    <s v="Loja"/>
    <n v="515.96999999999991"/>
    <n v="73.709999999999994"/>
    <x v="31"/>
  </r>
  <r>
    <d v="2025-08-05T00:00:00"/>
    <s v="Mentoria ENEM"/>
    <x v="0"/>
    <s v="Ana"/>
    <n v="4"/>
    <n v="121.19"/>
    <x v="1"/>
    <s v="Online"/>
    <n v="484.76"/>
    <n v="121.19"/>
    <x v="31"/>
  </r>
  <r>
    <d v="2025-08-06T00:00:00"/>
    <s v="Plano Premium"/>
    <x v="3"/>
    <s v="Ana"/>
    <n v="4"/>
    <n v="306.23"/>
    <x v="3"/>
    <s v="Loja"/>
    <n v="1224.92"/>
    <n v="306.23"/>
    <x v="31"/>
  </r>
  <r>
    <d v="2025-08-07T00:00:00"/>
    <s v="Plano Premium"/>
    <x v="2"/>
    <s v="Ana"/>
    <n v="2"/>
    <n v="308.70999999999998"/>
    <x v="1"/>
    <s v="Online"/>
    <n v="617.41999999999996"/>
    <n v="308.70999999999998"/>
    <x v="31"/>
  </r>
  <r>
    <d v="2025-08-08T00:00:00"/>
    <s v="Mentoria ENEM"/>
    <x v="3"/>
    <s v="Eduarda"/>
    <n v="8"/>
    <n v="465.33"/>
    <x v="1"/>
    <s v="Online"/>
    <n v="3722.64"/>
    <n v="465.33"/>
    <x v="31"/>
  </r>
  <r>
    <d v="2025-08-09T00:00:00"/>
    <s v="Curso ENEM"/>
    <x v="0"/>
    <s v="Bruno"/>
    <n v="8"/>
    <n v="260.52"/>
    <x v="1"/>
    <s v="Online"/>
    <n v="2084.16"/>
    <n v="260.52"/>
    <x v="31"/>
  </r>
  <r>
    <d v="2025-08-10T00:00:00"/>
    <s v="Mentoria ENEM"/>
    <x v="2"/>
    <s v="Eduarda"/>
    <n v="7"/>
    <n v="97.45"/>
    <x v="4"/>
    <s v="Loja"/>
    <n v="682.15"/>
    <n v="97.45"/>
    <x v="31"/>
  </r>
  <r>
    <d v="2025-08-11T00:00:00"/>
    <s v="Curso ENEM"/>
    <x v="4"/>
    <s v="Bruno"/>
    <n v="9"/>
    <n v="51.13"/>
    <x v="4"/>
    <s v="WhatsApp"/>
    <n v="460.17"/>
    <n v="51.13"/>
    <x v="31"/>
  </r>
  <r>
    <d v="2025-08-12T00:00:00"/>
    <s v="Simulado Pro"/>
    <x v="0"/>
    <s v="Bruno"/>
    <n v="6"/>
    <n v="277.39999999999998"/>
    <x v="3"/>
    <s v="WhatsApp"/>
    <n v="1664.4"/>
    <n v="277.40000000000003"/>
    <x v="31"/>
  </r>
  <r>
    <d v="2025-08-13T00:00:00"/>
    <s v="Plano Premium"/>
    <x v="3"/>
    <s v="Diego"/>
    <n v="8"/>
    <n v="477.92"/>
    <x v="4"/>
    <s v="Loja"/>
    <n v="3823.36"/>
    <n v="477.92"/>
    <x v="31"/>
  </r>
  <r>
    <d v="2025-08-14T00:00:00"/>
    <s v="Material Revisão"/>
    <x v="2"/>
    <s v="Bruno"/>
    <n v="4"/>
    <n v="162.9"/>
    <x v="1"/>
    <s v="Online"/>
    <n v="651.6"/>
    <n v="162.9"/>
    <x v="31"/>
  </r>
  <r>
    <d v="2025-08-15T00:00:00"/>
    <s v="Plano Premium"/>
    <x v="2"/>
    <s v="Bruno"/>
    <n v="7"/>
    <n v="406.92"/>
    <x v="4"/>
    <s v="Online"/>
    <n v="2848.44"/>
    <n v="406.92"/>
    <x v="31"/>
  </r>
  <r>
    <d v="2025-08-17T00:00:00"/>
    <s v="Simulado Pro"/>
    <x v="1"/>
    <s v="Bruno"/>
    <n v="6"/>
    <n v="104.05"/>
    <x v="0"/>
    <s v="Online"/>
    <n v="624.29999999999995"/>
    <n v="104.05"/>
    <x v="31"/>
  </r>
  <r>
    <d v="2025-08-18T00:00:00"/>
    <s v="Mentoria ENEM"/>
    <x v="3"/>
    <s v="Bruno"/>
    <n v="4"/>
    <n v="456.2"/>
    <x v="4"/>
    <s v="Online"/>
    <n v="1824.8"/>
    <n v="456.2"/>
    <x v="31"/>
  </r>
  <r>
    <d v="2025-08-19T00:00:00"/>
    <s v="Plano Premium"/>
    <x v="4"/>
    <s v="Diego"/>
    <n v="5"/>
    <n v="415.39"/>
    <x v="4"/>
    <s v="Indicação"/>
    <n v="2076.9499999999998"/>
    <n v="415.39"/>
    <x v="31"/>
  </r>
  <r>
    <d v="2025-08-20T00:00:00"/>
    <s v="Mentoria ENEM"/>
    <x v="0"/>
    <s v="Diego"/>
    <n v="2"/>
    <n v="420.43"/>
    <x v="2"/>
    <s v="Indicação"/>
    <n v="840.86"/>
    <n v="420.43"/>
    <x v="31"/>
  </r>
  <r>
    <d v="2025-08-21T00:00:00"/>
    <s v="Plano Premium"/>
    <x v="1"/>
    <s v="Diego"/>
    <n v="1"/>
    <n v="74.19"/>
    <x v="2"/>
    <s v="Loja"/>
    <n v="74.19"/>
    <n v="74.19"/>
    <x v="31"/>
  </r>
  <r>
    <d v="2025-08-22T00:00:00"/>
    <s v="Material Revisão"/>
    <x v="3"/>
    <s v="Bruno"/>
    <n v="1"/>
    <n v="189.34"/>
    <x v="0"/>
    <s v="Loja"/>
    <n v="189.34"/>
    <n v="189.34"/>
    <x v="31"/>
  </r>
  <r>
    <d v="2025-08-23T00:00:00"/>
    <s v="Simulado Pro"/>
    <x v="0"/>
    <s v="Diego"/>
    <n v="6"/>
    <n v="150.44999999999999"/>
    <x v="1"/>
    <s v="WhatsApp"/>
    <n v="902.69999999999993"/>
    <n v="150.44999999999999"/>
    <x v="31"/>
  </r>
  <r>
    <d v="2025-08-24T00:00:00"/>
    <s v="Simulado Pro"/>
    <x v="2"/>
    <s v="Eduarda"/>
    <n v="8"/>
    <n v="266.06"/>
    <x v="1"/>
    <s v="WhatsApp"/>
    <n v="2128.48"/>
    <n v="266.06"/>
    <x v="31"/>
  </r>
  <r>
    <d v="2025-08-25T00:00:00"/>
    <s v="Mentoria ENEM"/>
    <x v="0"/>
    <s v="Eduarda"/>
    <n v="8"/>
    <n v="189.41"/>
    <x v="3"/>
    <s v="WhatsApp"/>
    <n v="1515.28"/>
    <n v="189.41"/>
    <x v="31"/>
  </r>
  <r>
    <d v="2025-08-26T00:00:00"/>
    <s v="Simulado Pro"/>
    <x v="1"/>
    <s v="Carla"/>
    <n v="3"/>
    <n v="429.05"/>
    <x v="1"/>
    <s v="WhatsApp"/>
    <n v="1287.1500000000001"/>
    <n v="429.05"/>
    <x v="31"/>
  </r>
  <r>
    <d v="2025-08-28T00:00:00"/>
    <s v="Simulado Pro"/>
    <x v="3"/>
    <s v="Diego"/>
    <n v="7"/>
    <n v="221.13"/>
    <x v="2"/>
    <s v="WhatsApp"/>
    <n v="1547.91"/>
    <n v="221.13000000000002"/>
    <x v="31"/>
  </r>
  <r>
    <d v="2025-08-29T00:00:00"/>
    <s v="Curso ENEM"/>
    <x v="1"/>
    <s v="Ana"/>
    <n v="7"/>
    <n v="343.94"/>
    <x v="2"/>
    <s v="Online"/>
    <n v="2407.58"/>
    <n v="343.94"/>
    <x v="31"/>
  </r>
  <r>
    <d v="2025-08-30T00:00:00"/>
    <s v="Plano Premium"/>
    <x v="3"/>
    <s v="Bruno"/>
    <n v="5"/>
    <n v="270.08"/>
    <x v="1"/>
    <s v="Online"/>
    <n v="1350.4"/>
    <n v="270.08000000000004"/>
    <x v="31"/>
  </r>
  <r>
    <d v="2025-08-31T00:00:00"/>
    <s v="Mentoria ENEM"/>
    <x v="0"/>
    <s v="Ana"/>
    <n v="9"/>
    <n v="297.33"/>
    <x v="0"/>
    <s v="WhatsApp"/>
    <n v="2675.97"/>
    <n v="297.33"/>
    <x v="31"/>
  </r>
  <r>
    <d v="2025-09-01T00:00:00"/>
    <s v="Mentoria ENEM"/>
    <x v="2"/>
    <s v="Diego"/>
    <n v="1"/>
    <n v="249.01"/>
    <x v="4"/>
    <s v="Loja"/>
    <n v="249.01"/>
    <n v="249.01"/>
    <x v="32"/>
  </r>
  <r>
    <d v="2025-09-02T00:00:00"/>
    <s v="Material Revisão"/>
    <x v="0"/>
    <s v="Eduarda"/>
    <n v="4"/>
    <n v="313.22000000000003"/>
    <x v="2"/>
    <s v="Indicação"/>
    <n v="1252.8800000000001"/>
    <n v="313.22000000000003"/>
    <x v="32"/>
  </r>
  <r>
    <d v="2025-09-03T00:00:00"/>
    <s v="Plano Premium"/>
    <x v="2"/>
    <s v="Ana"/>
    <n v="7"/>
    <n v="487.28"/>
    <x v="3"/>
    <s v="Indicação"/>
    <n v="3410.96"/>
    <n v="487.28000000000003"/>
    <x v="32"/>
  </r>
  <r>
    <d v="2025-09-04T00:00:00"/>
    <s v="Mentoria ENEM"/>
    <x v="0"/>
    <s v="Eduarda"/>
    <n v="3"/>
    <n v="311.43"/>
    <x v="3"/>
    <s v="WhatsApp"/>
    <n v="934.29"/>
    <n v="311.43"/>
    <x v="32"/>
  </r>
  <r>
    <d v="2025-09-05T00:00:00"/>
    <s v="Material Revisão"/>
    <x v="0"/>
    <s v="Eduarda"/>
    <n v="4"/>
    <n v="466.64"/>
    <x v="3"/>
    <s v="Loja"/>
    <n v="1866.56"/>
    <n v="466.64"/>
    <x v="32"/>
  </r>
  <r>
    <d v="2025-09-06T00:00:00"/>
    <s v="Plano Premium"/>
    <x v="0"/>
    <s v="Ana"/>
    <n v="5"/>
    <n v="361.71"/>
    <x v="1"/>
    <s v="WhatsApp"/>
    <n v="1808.55"/>
    <n v="361.71"/>
    <x v="32"/>
  </r>
  <r>
    <d v="2025-09-08T00:00:00"/>
    <s v="Mentoria ENEM"/>
    <x v="4"/>
    <s v="Bruno"/>
    <n v="1"/>
    <n v="406.82"/>
    <x v="1"/>
    <s v="Indicação"/>
    <n v="406.82"/>
    <n v="406.82"/>
    <x v="32"/>
  </r>
  <r>
    <d v="2025-09-09T00:00:00"/>
    <s v="Plano Premium"/>
    <x v="0"/>
    <s v="Bruno"/>
    <n v="2"/>
    <n v="352.44"/>
    <x v="2"/>
    <s v="Online"/>
    <n v="704.88"/>
    <n v="352.44"/>
    <x v="32"/>
  </r>
  <r>
    <d v="2025-09-10T00:00:00"/>
    <s v="Curso ENEM"/>
    <x v="0"/>
    <s v="Carla"/>
    <n v="7"/>
    <n v="148.71"/>
    <x v="2"/>
    <s v="Online"/>
    <n v="1040.97"/>
    <n v="148.71"/>
    <x v="32"/>
  </r>
  <r>
    <d v="2025-09-11T00:00:00"/>
    <s v="Material Revisão"/>
    <x v="4"/>
    <s v="Eduarda"/>
    <n v="6"/>
    <n v="387.58"/>
    <x v="0"/>
    <s v="Loja"/>
    <n v="2325.48"/>
    <n v="387.58"/>
    <x v="32"/>
  </r>
  <r>
    <d v="2025-09-12T00:00:00"/>
    <s v="Plano Premium"/>
    <x v="3"/>
    <s v="Diego"/>
    <n v="1"/>
    <n v="179.88"/>
    <x v="4"/>
    <s v="Loja"/>
    <n v="179.88"/>
    <n v="179.88"/>
    <x v="32"/>
  </r>
  <r>
    <d v="2025-09-13T00:00:00"/>
    <s v="Simulado Pro"/>
    <x v="3"/>
    <s v="Eduarda"/>
    <n v="3"/>
    <n v="36.020000000000003"/>
    <x v="3"/>
    <s v="Loja"/>
    <n v="108.06"/>
    <n v="36.020000000000003"/>
    <x v="32"/>
  </r>
  <r>
    <d v="2025-09-14T00:00:00"/>
    <s v="Simulado Pro"/>
    <x v="4"/>
    <s v="Ana"/>
    <n v="6"/>
    <n v="166.1"/>
    <x v="3"/>
    <s v="Online"/>
    <n v="996.59999999999991"/>
    <n v="166.1"/>
    <x v="32"/>
  </r>
  <r>
    <d v="2025-09-15T00:00:00"/>
    <s v="Curso ENEM"/>
    <x v="1"/>
    <s v="Ana"/>
    <n v="7"/>
    <n v="432.67"/>
    <x v="3"/>
    <s v="WhatsApp"/>
    <n v="3028.69"/>
    <n v="432.67"/>
    <x v="32"/>
  </r>
  <r>
    <d v="2025-09-16T00:00:00"/>
    <s v="Simulado Pro"/>
    <x v="0"/>
    <s v="Diego"/>
    <n v="8"/>
    <n v="306.85000000000002"/>
    <x v="4"/>
    <s v="WhatsApp"/>
    <n v="2454.8000000000002"/>
    <n v="306.85000000000002"/>
    <x v="32"/>
  </r>
  <r>
    <d v="2025-09-17T00:00:00"/>
    <s v="Mentoria ENEM"/>
    <x v="3"/>
    <s v="Eduarda"/>
    <n v="4"/>
    <n v="440.59"/>
    <x v="0"/>
    <s v="WhatsApp"/>
    <n v="1762.36"/>
    <n v="440.59"/>
    <x v="32"/>
  </r>
  <r>
    <d v="2025-09-18T00:00:00"/>
    <s v="Material Revisão"/>
    <x v="2"/>
    <s v="Ana"/>
    <n v="3"/>
    <n v="217.62"/>
    <x v="3"/>
    <s v="Loja"/>
    <n v="652.86"/>
    <n v="217.62"/>
    <x v="32"/>
  </r>
  <r>
    <d v="2025-09-20T00:00:00"/>
    <s v="Mentoria ENEM"/>
    <x v="1"/>
    <s v="Ana"/>
    <n v="1"/>
    <n v="135.06"/>
    <x v="3"/>
    <s v="Online"/>
    <n v="135.06"/>
    <n v="135.06"/>
    <x v="32"/>
  </r>
  <r>
    <d v="2025-09-21T00:00:00"/>
    <s v="Material Revisão"/>
    <x v="4"/>
    <s v="Diego"/>
    <n v="6"/>
    <n v="193.78"/>
    <x v="4"/>
    <s v="Online"/>
    <n v="1162.68"/>
    <n v="193.78"/>
    <x v="32"/>
  </r>
  <r>
    <d v="2025-09-22T00:00:00"/>
    <s v="Material Revisão"/>
    <x v="1"/>
    <s v="Ana"/>
    <n v="8"/>
    <n v="167.66"/>
    <x v="2"/>
    <s v="WhatsApp"/>
    <n v="1341.28"/>
    <n v="167.66"/>
    <x v="32"/>
  </r>
  <r>
    <d v="2025-09-23T00:00:00"/>
    <s v="Simulado Pro"/>
    <x v="2"/>
    <s v="Bruno"/>
    <n v="5"/>
    <n v="404.41"/>
    <x v="1"/>
    <s v="WhatsApp"/>
    <n v="2022.05"/>
    <n v="404.40999999999997"/>
    <x v="32"/>
  </r>
  <r>
    <d v="2025-09-24T00:00:00"/>
    <s v="Mentoria ENEM"/>
    <x v="0"/>
    <s v="Carla"/>
    <n v="9"/>
    <n v="301.26"/>
    <x v="0"/>
    <s v="Online"/>
    <n v="2711.34"/>
    <n v="301.26"/>
    <x v="32"/>
  </r>
  <r>
    <d v="2025-09-25T00:00:00"/>
    <s v="Curso ENEM"/>
    <x v="1"/>
    <s v="Bruno"/>
    <n v="3"/>
    <n v="184.05"/>
    <x v="0"/>
    <s v="Online"/>
    <n v="552.15000000000009"/>
    <n v="184.05000000000004"/>
    <x v="32"/>
  </r>
  <r>
    <d v="2025-09-26T00:00:00"/>
    <s v="Curso ENEM"/>
    <x v="3"/>
    <s v="Ana"/>
    <n v="1"/>
    <n v="415.83"/>
    <x v="2"/>
    <s v="Indicação"/>
    <n v="415.83"/>
    <n v="415.83"/>
    <x v="32"/>
  </r>
  <r>
    <d v="2025-09-27T00:00:00"/>
    <s v="Mentoria ENEM"/>
    <x v="3"/>
    <s v="Diego"/>
    <n v="3"/>
    <n v="265.20999999999998"/>
    <x v="2"/>
    <s v="Loja"/>
    <n v="795.62999999999988"/>
    <n v="265.20999999999998"/>
    <x v="32"/>
  </r>
  <r>
    <d v="2025-09-28T00:00:00"/>
    <s v="Plano Premium"/>
    <x v="0"/>
    <s v="Carla"/>
    <n v="8"/>
    <n v="232.8"/>
    <x v="1"/>
    <s v="Loja"/>
    <n v="1862.4"/>
    <n v="232.8"/>
    <x v="32"/>
  </r>
  <r>
    <d v="2025-09-29T00:00:00"/>
    <s v="Mentoria ENEM"/>
    <x v="3"/>
    <s v="Eduarda"/>
    <n v="8"/>
    <n v="469.7"/>
    <x v="4"/>
    <s v="Loja"/>
    <n v="3757.6"/>
    <n v="469.7"/>
    <x v="32"/>
  </r>
  <r>
    <d v="2025-10-01T00:00:00"/>
    <s v="Simulado Pro"/>
    <x v="0"/>
    <s v="Eduarda"/>
    <n v="9"/>
    <n v="237.42"/>
    <x v="0"/>
    <s v="Loja"/>
    <n v="2136.7800000000002"/>
    <n v="237.42000000000002"/>
    <x v="33"/>
  </r>
  <r>
    <d v="2025-10-02T00:00:00"/>
    <s v="Simulado Pro"/>
    <x v="4"/>
    <s v="Ana"/>
    <n v="1"/>
    <n v="271.60000000000002"/>
    <x v="1"/>
    <s v="Indicação"/>
    <n v="271.60000000000002"/>
    <n v="271.60000000000002"/>
    <x v="33"/>
  </r>
  <r>
    <d v="2025-10-03T00:00:00"/>
    <s v="Mentoria ENEM"/>
    <x v="4"/>
    <s v="Diego"/>
    <n v="6"/>
    <n v="106.98"/>
    <x v="4"/>
    <s v="WhatsApp"/>
    <n v="641.88"/>
    <n v="106.98"/>
    <x v="33"/>
  </r>
  <r>
    <d v="2025-10-04T00:00:00"/>
    <s v="Plano Premium"/>
    <x v="1"/>
    <s v="Bruno"/>
    <n v="1"/>
    <n v="175.68"/>
    <x v="4"/>
    <s v="WhatsApp"/>
    <n v="175.68"/>
    <n v="175.68"/>
    <x v="33"/>
  </r>
  <r>
    <d v="2025-10-05T00:00:00"/>
    <s v="Mentoria ENEM"/>
    <x v="1"/>
    <s v="Carla"/>
    <n v="7"/>
    <n v="373.54"/>
    <x v="2"/>
    <s v="Online"/>
    <n v="2614.7800000000002"/>
    <n v="373.54"/>
    <x v="33"/>
  </r>
  <r>
    <d v="2025-10-06T00:00:00"/>
    <s v="Simulado Pro"/>
    <x v="4"/>
    <s v="Bruno"/>
    <n v="4"/>
    <n v="371.62"/>
    <x v="2"/>
    <s v="WhatsApp"/>
    <n v="1486.48"/>
    <n v="371.62"/>
    <x v="33"/>
  </r>
  <r>
    <d v="2025-10-07T00:00:00"/>
    <s v="Curso ENEM"/>
    <x v="4"/>
    <s v="Bruno"/>
    <n v="1"/>
    <n v="272.48"/>
    <x v="1"/>
    <s v="Loja"/>
    <n v="272.48"/>
    <n v="272.48"/>
    <x v="33"/>
  </r>
  <r>
    <d v="2025-10-08T00:00:00"/>
    <s v="Curso ENEM"/>
    <x v="1"/>
    <s v="Bruno"/>
    <n v="3"/>
    <n v="419.84"/>
    <x v="1"/>
    <s v="Online"/>
    <n v="1259.52"/>
    <n v="419.84"/>
    <x v="33"/>
  </r>
  <r>
    <d v="2025-10-09T00:00:00"/>
    <s v="Plano Premium"/>
    <x v="2"/>
    <s v="Carla"/>
    <n v="5"/>
    <n v="29.53"/>
    <x v="0"/>
    <s v="Indicação"/>
    <n v="147.65"/>
    <n v="29.53"/>
    <x v="33"/>
  </r>
  <r>
    <d v="2025-10-10T00:00:00"/>
    <s v="Curso ENEM"/>
    <x v="1"/>
    <s v="Carla"/>
    <n v="3"/>
    <n v="437.06"/>
    <x v="1"/>
    <s v="Online"/>
    <n v="1311.18"/>
    <n v="437.06"/>
    <x v="33"/>
  </r>
  <r>
    <d v="2025-10-11T00:00:00"/>
    <s v="Plano Premium"/>
    <x v="0"/>
    <s v="Bruno"/>
    <n v="4"/>
    <n v="465.59"/>
    <x v="0"/>
    <s v="Online"/>
    <n v="1862.36"/>
    <n v="465.59"/>
    <x v="33"/>
  </r>
  <r>
    <d v="2025-10-13T00:00:00"/>
    <s v="Curso ENEM"/>
    <x v="2"/>
    <s v="Carla"/>
    <n v="1"/>
    <n v="469.85"/>
    <x v="0"/>
    <s v="Loja"/>
    <n v="469.85"/>
    <n v="469.85"/>
    <x v="33"/>
  </r>
  <r>
    <d v="2025-10-14T00:00:00"/>
    <s v="Mentoria ENEM"/>
    <x v="1"/>
    <s v="Ana"/>
    <n v="3"/>
    <n v="319.89"/>
    <x v="4"/>
    <s v="Loja"/>
    <n v="959.67"/>
    <n v="319.89"/>
    <x v="33"/>
  </r>
  <r>
    <d v="2025-10-15T00:00:00"/>
    <s v="Simulado Pro"/>
    <x v="0"/>
    <s v="Carla"/>
    <n v="6"/>
    <n v="468.98"/>
    <x v="2"/>
    <s v="Indicação"/>
    <n v="2813.88"/>
    <n v="468.98"/>
    <x v="33"/>
  </r>
  <r>
    <d v="2025-10-16T00:00:00"/>
    <s v="Curso ENEM"/>
    <x v="2"/>
    <s v="Eduarda"/>
    <n v="3"/>
    <n v="436.27"/>
    <x v="3"/>
    <s v="Indicação"/>
    <n v="1308.81"/>
    <n v="436.27"/>
    <x v="33"/>
  </r>
  <r>
    <d v="2025-10-17T00:00:00"/>
    <s v="Plano Premium"/>
    <x v="4"/>
    <s v="Carla"/>
    <n v="8"/>
    <n v="419.27"/>
    <x v="3"/>
    <s v="Online"/>
    <n v="3354.16"/>
    <n v="419.27"/>
    <x v="33"/>
  </r>
  <r>
    <d v="2025-10-18T00:00:00"/>
    <s v="Plano Premium"/>
    <x v="0"/>
    <s v="Ana"/>
    <n v="7"/>
    <n v="71.709999999999994"/>
    <x v="4"/>
    <s v="Indicação"/>
    <n v="501.97"/>
    <n v="71.710000000000008"/>
    <x v="33"/>
  </r>
  <r>
    <d v="2025-10-19T00:00:00"/>
    <s v="Mentoria ENEM"/>
    <x v="0"/>
    <s v="Ana"/>
    <n v="5"/>
    <n v="56.31"/>
    <x v="2"/>
    <s v="Loja"/>
    <n v="281.55"/>
    <n v="56.31"/>
    <x v="33"/>
  </r>
  <r>
    <d v="2025-10-20T00:00:00"/>
    <s v="Plano Premium"/>
    <x v="0"/>
    <s v="Diego"/>
    <n v="6"/>
    <n v="239.28"/>
    <x v="1"/>
    <s v="Loja"/>
    <n v="1435.68"/>
    <n v="239.28"/>
    <x v="33"/>
  </r>
  <r>
    <d v="2025-10-21T00:00:00"/>
    <s v="Simulado Pro"/>
    <x v="2"/>
    <s v="Diego"/>
    <n v="7"/>
    <n v="440.5"/>
    <x v="0"/>
    <s v="Indicação"/>
    <n v="3083.5"/>
    <n v="440.5"/>
    <x v="33"/>
  </r>
  <r>
    <d v="2025-10-22T00:00:00"/>
    <s v="Curso ENEM"/>
    <x v="1"/>
    <s v="Carla"/>
    <n v="4"/>
    <n v="306.11"/>
    <x v="2"/>
    <s v="WhatsApp"/>
    <n v="1224.44"/>
    <n v="306.11"/>
    <x v="33"/>
  </r>
  <r>
    <d v="2025-10-24T00:00:00"/>
    <s v="Material Revisão"/>
    <x v="2"/>
    <s v="Eduarda"/>
    <n v="1"/>
    <n v="59.8"/>
    <x v="0"/>
    <s v="Indicação"/>
    <n v="59.8"/>
    <n v="59.8"/>
    <x v="33"/>
  </r>
  <r>
    <d v="2025-10-25T00:00:00"/>
    <s v="Plano Premium"/>
    <x v="1"/>
    <s v="Diego"/>
    <n v="6"/>
    <n v="151.30000000000001"/>
    <x v="4"/>
    <s v="Online"/>
    <n v="907.80000000000007"/>
    <n v="151.30000000000001"/>
    <x v="33"/>
  </r>
  <r>
    <d v="2025-10-26T00:00:00"/>
    <s v="Curso ENEM"/>
    <x v="3"/>
    <s v="Bruno"/>
    <n v="4"/>
    <n v="410.15"/>
    <x v="2"/>
    <s v="WhatsApp"/>
    <n v="1640.6"/>
    <n v="410.15"/>
    <x v="33"/>
  </r>
  <r>
    <d v="2025-10-27T00:00:00"/>
    <s v="Material Revisão"/>
    <x v="4"/>
    <s v="Bruno"/>
    <n v="8"/>
    <n v="53.86"/>
    <x v="2"/>
    <s v="Loja"/>
    <n v="430.88"/>
    <n v="53.86"/>
    <x v="33"/>
  </r>
  <r>
    <d v="2025-10-28T00:00:00"/>
    <s v="Curso ENEM"/>
    <x v="3"/>
    <s v="Bruno"/>
    <n v="5"/>
    <n v="201.1"/>
    <x v="0"/>
    <s v="Online"/>
    <n v="1005.5"/>
    <n v="201.1"/>
    <x v="33"/>
  </r>
  <r>
    <d v="2025-10-29T00:00:00"/>
    <s v="Mentoria ENEM"/>
    <x v="3"/>
    <s v="Carla"/>
    <n v="4"/>
    <n v="152.72999999999999"/>
    <x v="3"/>
    <s v="Loja"/>
    <n v="610.91999999999996"/>
    <n v="152.72999999999999"/>
    <x v="33"/>
  </r>
  <r>
    <d v="2025-10-30T00:00:00"/>
    <s v="Simulado Pro"/>
    <x v="2"/>
    <s v="Bruno"/>
    <n v="6"/>
    <n v="305.35000000000002"/>
    <x v="0"/>
    <s v="Indicação"/>
    <n v="1832.1"/>
    <n v="305.34999999999997"/>
    <x v="33"/>
  </r>
  <r>
    <d v="2025-10-31T00:00:00"/>
    <s v="Plano Premium"/>
    <x v="1"/>
    <s v="Eduarda"/>
    <n v="4"/>
    <n v="279.82"/>
    <x v="0"/>
    <s v="Online"/>
    <n v="1119.28"/>
    <n v="279.82"/>
    <x v="33"/>
  </r>
  <r>
    <d v="2025-11-01T00:00:00"/>
    <s v="Mentoria ENEM"/>
    <x v="1"/>
    <s v="Ana"/>
    <n v="9"/>
    <n v="370.31"/>
    <x v="3"/>
    <s v="WhatsApp"/>
    <n v="3332.79"/>
    <n v="370.31"/>
    <x v="34"/>
  </r>
  <r>
    <d v="2025-11-02T00:00:00"/>
    <s v="Plano Premium"/>
    <x v="2"/>
    <s v="Bruno"/>
    <n v="7"/>
    <n v="440.51"/>
    <x v="4"/>
    <s v="Indicação"/>
    <n v="3083.57"/>
    <n v="440.51000000000005"/>
    <x v="34"/>
  </r>
  <r>
    <d v="2025-11-04T00:00:00"/>
    <s v="Material Revisão"/>
    <x v="1"/>
    <s v="Bruno"/>
    <n v="1"/>
    <n v="147.4"/>
    <x v="1"/>
    <s v="Indicação"/>
    <n v="147.4"/>
    <n v="147.4"/>
    <x v="34"/>
  </r>
  <r>
    <d v="2025-11-05T00:00:00"/>
    <s v="Simulado Pro"/>
    <x v="4"/>
    <s v="Carla"/>
    <n v="2"/>
    <n v="247.35"/>
    <x v="2"/>
    <s v="Loja"/>
    <n v="494.7"/>
    <n v="247.35"/>
    <x v="34"/>
  </r>
  <r>
    <d v="2025-11-06T00:00:00"/>
    <s v="Curso ENEM"/>
    <x v="2"/>
    <s v="Carla"/>
    <n v="8"/>
    <n v="92.86"/>
    <x v="0"/>
    <s v="Loja"/>
    <n v="742.88"/>
    <n v="92.86"/>
    <x v="34"/>
  </r>
  <r>
    <d v="2025-11-07T00:00:00"/>
    <s v="Mentoria ENEM"/>
    <x v="2"/>
    <s v="Ana"/>
    <n v="5"/>
    <n v="294.74"/>
    <x v="2"/>
    <s v="Indicação"/>
    <n v="1473.7"/>
    <n v="294.74"/>
    <x v="34"/>
  </r>
  <r>
    <d v="2025-11-08T00:00:00"/>
    <s v="Plano Premium"/>
    <x v="0"/>
    <s v="Ana"/>
    <n v="9"/>
    <n v="356.48"/>
    <x v="4"/>
    <s v="Loja"/>
    <n v="3208.32"/>
    <n v="356.48"/>
    <x v="34"/>
  </r>
  <r>
    <d v="2025-11-09T00:00:00"/>
    <s v="Material Revisão"/>
    <x v="4"/>
    <s v="Carla"/>
    <n v="9"/>
    <n v="115.17"/>
    <x v="3"/>
    <s v="WhatsApp"/>
    <n v="1036.53"/>
    <n v="115.17"/>
    <x v="34"/>
  </r>
  <r>
    <d v="2025-11-10T00:00:00"/>
    <s v="Plano Premium"/>
    <x v="4"/>
    <s v="Eduarda"/>
    <n v="3"/>
    <n v="425.68"/>
    <x v="3"/>
    <s v="Loja"/>
    <n v="1277.04"/>
    <n v="425.68"/>
    <x v="34"/>
  </r>
  <r>
    <d v="2025-11-11T00:00:00"/>
    <s v="Mentoria ENEM"/>
    <x v="2"/>
    <s v="Carla"/>
    <n v="1"/>
    <n v="40.729999999999997"/>
    <x v="2"/>
    <s v="Online"/>
    <n v="40.729999999999997"/>
    <n v="40.729999999999997"/>
    <x v="34"/>
  </r>
  <r>
    <d v="2025-11-12T00:00:00"/>
    <s v="Curso ENEM"/>
    <x v="3"/>
    <s v="Carla"/>
    <n v="1"/>
    <n v="393.33"/>
    <x v="0"/>
    <s v="Indicação"/>
    <n v="393.33"/>
    <n v="393.33"/>
    <x v="34"/>
  </r>
  <r>
    <d v="2025-11-13T00:00:00"/>
    <s v="Material Revisão"/>
    <x v="1"/>
    <s v="Eduarda"/>
    <n v="2"/>
    <n v="452.53"/>
    <x v="3"/>
    <s v="WhatsApp"/>
    <n v="905.06"/>
    <n v="452.53"/>
    <x v="34"/>
  </r>
  <r>
    <d v="2025-11-14T00:00:00"/>
    <s v="Plano Premium"/>
    <x v="3"/>
    <s v="Ana"/>
    <n v="4"/>
    <n v="494.99"/>
    <x v="0"/>
    <s v="Online"/>
    <n v="1979.96"/>
    <n v="494.99"/>
    <x v="34"/>
  </r>
  <r>
    <d v="2025-11-16T00:00:00"/>
    <s v="Plano Premium"/>
    <x v="2"/>
    <s v="Bruno"/>
    <n v="1"/>
    <n v="75.739999999999995"/>
    <x v="3"/>
    <s v="Online"/>
    <n v="75.739999999999995"/>
    <n v="75.739999999999995"/>
    <x v="34"/>
  </r>
  <r>
    <d v="2025-11-17T00:00:00"/>
    <s v="Plano Premium"/>
    <x v="4"/>
    <s v="Eduarda"/>
    <n v="6"/>
    <n v="217.96"/>
    <x v="4"/>
    <s v="WhatsApp"/>
    <n v="1307.76"/>
    <n v="217.96"/>
    <x v="34"/>
  </r>
  <r>
    <d v="2025-11-18T00:00:00"/>
    <s v="Curso ENEM"/>
    <x v="1"/>
    <s v="Bruno"/>
    <n v="5"/>
    <n v="307.81"/>
    <x v="3"/>
    <s v="WhatsApp"/>
    <n v="1539.05"/>
    <n v="307.81"/>
    <x v="34"/>
  </r>
  <r>
    <d v="2025-11-19T00:00:00"/>
    <s v="Mentoria ENEM"/>
    <x v="0"/>
    <s v="Bruno"/>
    <n v="2"/>
    <n v="22.07"/>
    <x v="2"/>
    <s v="Indicação"/>
    <n v="44.14"/>
    <n v="22.07"/>
    <x v="34"/>
  </r>
  <r>
    <d v="2025-11-20T00:00:00"/>
    <s v="Mentoria ENEM"/>
    <x v="2"/>
    <s v="Bruno"/>
    <n v="3"/>
    <n v="37.89"/>
    <x v="4"/>
    <s v="Online"/>
    <n v="113.67"/>
    <n v="37.89"/>
    <x v="34"/>
  </r>
  <r>
    <d v="2025-11-21T00:00:00"/>
    <s v="Simulado Pro"/>
    <x v="1"/>
    <s v="Carla"/>
    <n v="9"/>
    <n v="285.35000000000002"/>
    <x v="1"/>
    <s v="Indicação"/>
    <n v="2568.15"/>
    <n v="285.35000000000002"/>
    <x v="34"/>
  </r>
  <r>
    <d v="2025-11-22T00:00:00"/>
    <s v="Curso ENEM"/>
    <x v="2"/>
    <s v="Diego"/>
    <n v="7"/>
    <n v="214.2"/>
    <x v="0"/>
    <s v="WhatsApp"/>
    <n v="1499.4"/>
    <n v="214.20000000000002"/>
    <x v="34"/>
  </r>
  <r>
    <d v="2025-11-23T00:00:00"/>
    <s v="Plano Premium"/>
    <x v="3"/>
    <s v="Carla"/>
    <n v="6"/>
    <n v="376.77"/>
    <x v="3"/>
    <s v="Indicação"/>
    <n v="2260.62"/>
    <n v="376.77"/>
    <x v="34"/>
  </r>
  <r>
    <d v="2025-11-24T00:00:00"/>
    <s v="Curso ENEM"/>
    <x v="0"/>
    <s v="Eduarda"/>
    <n v="7"/>
    <n v="60.74"/>
    <x v="2"/>
    <s v="Indicação"/>
    <n v="425.18"/>
    <n v="60.74"/>
    <x v="34"/>
  </r>
  <r>
    <d v="2025-11-25T00:00:00"/>
    <s v="Plano Premium"/>
    <x v="0"/>
    <s v="Ana"/>
    <n v="3"/>
    <n v="428.12"/>
    <x v="3"/>
    <s v="Indicação"/>
    <n v="1284.3599999999999"/>
    <n v="428.11999999999995"/>
    <x v="34"/>
  </r>
  <r>
    <d v="2025-11-27T00:00:00"/>
    <s v="Mentoria ENEM"/>
    <x v="1"/>
    <s v="Diego"/>
    <n v="8"/>
    <n v="195.42"/>
    <x v="1"/>
    <s v="Online"/>
    <n v="1563.36"/>
    <n v="195.42"/>
    <x v="34"/>
  </r>
  <r>
    <d v="2025-11-28T00:00:00"/>
    <s v="Curso ENEM"/>
    <x v="1"/>
    <s v="Carla"/>
    <n v="1"/>
    <n v="351.67"/>
    <x v="4"/>
    <s v="WhatsApp"/>
    <n v="351.67"/>
    <n v="351.67"/>
    <x v="34"/>
  </r>
  <r>
    <d v="2025-11-29T00:00:00"/>
    <s v="Material Revisão"/>
    <x v="2"/>
    <s v="Ana"/>
    <n v="1"/>
    <n v="248.55"/>
    <x v="1"/>
    <s v="Online"/>
    <n v="248.55"/>
    <n v="248.55"/>
    <x v="34"/>
  </r>
  <r>
    <d v="2025-11-30T00:00:00"/>
    <s v="Plano Premium"/>
    <x v="0"/>
    <s v="Eduarda"/>
    <n v="2"/>
    <n v="33.159999999999997"/>
    <x v="2"/>
    <s v="Loja"/>
    <n v="66.319999999999993"/>
    <n v="33.159999999999997"/>
    <x v="34"/>
  </r>
  <r>
    <d v="2025-12-01T00:00:00"/>
    <s v="Material Revisão"/>
    <x v="3"/>
    <s v="Bruno"/>
    <n v="1"/>
    <n v="298.02"/>
    <x v="0"/>
    <s v="Loja"/>
    <n v="298.02"/>
    <n v="298.02"/>
    <x v="35"/>
  </r>
  <r>
    <d v="2025-12-02T00:00:00"/>
    <s v="Plano Premium"/>
    <x v="4"/>
    <s v="Carla"/>
    <n v="5"/>
    <n v="337.36"/>
    <x v="0"/>
    <s v="Loja"/>
    <n v="1686.8"/>
    <n v="337.36"/>
    <x v="35"/>
  </r>
  <r>
    <d v="2025-12-03T00:00:00"/>
    <s v="Mentoria ENEM"/>
    <x v="2"/>
    <s v="Bruno"/>
    <n v="2"/>
    <n v="32.799999999999997"/>
    <x v="4"/>
    <s v="Online"/>
    <n v="65.599999999999994"/>
    <n v="32.799999999999997"/>
    <x v="35"/>
  </r>
  <r>
    <d v="2025-12-04T00:00:00"/>
    <s v="Mentoria ENEM"/>
    <x v="0"/>
    <s v="Diego"/>
    <n v="1"/>
    <n v="169.91"/>
    <x v="1"/>
    <s v="Indicação"/>
    <n v="169.91"/>
    <n v="169.91"/>
    <x v="35"/>
  </r>
  <r>
    <d v="2025-12-05T00:00:00"/>
    <s v="Material Revisão"/>
    <x v="0"/>
    <s v="Eduarda"/>
    <n v="7"/>
    <n v="441.37"/>
    <x v="2"/>
    <s v="WhatsApp"/>
    <n v="3089.59"/>
    <n v="441.37"/>
    <x v="35"/>
  </r>
  <r>
    <d v="2025-12-06T00:00:00"/>
    <s v="Plano Premium"/>
    <x v="2"/>
    <s v="Ana"/>
    <n v="4"/>
    <n v="312.29000000000002"/>
    <x v="0"/>
    <s v="Online"/>
    <n v="1249.1600000000001"/>
    <n v="312.29000000000002"/>
    <x v="35"/>
  </r>
  <r>
    <d v="2025-12-07T00:00:00"/>
    <s v="Mentoria ENEM"/>
    <x v="2"/>
    <s v="Ana"/>
    <n v="3"/>
    <n v="458.88"/>
    <x v="1"/>
    <s v="Loja"/>
    <n v="1376.64"/>
    <n v="458.88000000000005"/>
    <x v="35"/>
  </r>
  <r>
    <d v="2025-12-09T00:00:00"/>
    <s v="Simulado Pro"/>
    <x v="3"/>
    <s v="Carla"/>
    <n v="9"/>
    <n v="130.29"/>
    <x v="1"/>
    <s v="Loja"/>
    <n v="1172.6099999999999"/>
    <n v="130.29"/>
    <x v="35"/>
  </r>
  <r>
    <d v="2025-12-10T00:00:00"/>
    <s v="Plano Premium"/>
    <x v="0"/>
    <s v="Carla"/>
    <n v="1"/>
    <n v="127.72"/>
    <x v="2"/>
    <s v="Loja"/>
    <n v="127.72"/>
    <n v="127.72"/>
    <x v="35"/>
  </r>
  <r>
    <d v="2025-12-11T00:00:00"/>
    <s v="Plano Premium"/>
    <x v="0"/>
    <s v="Diego"/>
    <n v="7"/>
    <n v="408.55"/>
    <x v="0"/>
    <s v="Indicação"/>
    <n v="2859.85"/>
    <n v="408.55"/>
    <x v="35"/>
  </r>
  <r>
    <d v="2025-12-12T00:00:00"/>
    <s v="Mentoria ENEM"/>
    <x v="4"/>
    <s v="Diego"/>
    <n v="4"/>
    <n v="431.49"/>
    <x v="1"/>
    <s v="WhatsApp"/>
    <n v="1725.96"/>
    <n v="431.49"/>
    <x v="35"/>
  </r>
  <r>
    <d v="2025-12-13T00:00:00"/>
    <s v="Curso ENEM"/>
    <x v="2"/>
    <s v="Ana"/>
    <n v="5"/>
    <n v="207.72"/>
    <x v="1"/>
    <s v="Indicação"/>
    <n v="1038.5999999999999"/>
    <n v="207.71999999999997"/>
    <x v="35"/>
  </r>
  <r>
    <d v="2025-12-14T00:00:00"/>
    <s v="Simulado Pro"/>
    <x v="2"/>
    <s v="Carla"/>
    <n v="8"/>
    <n v="403"/>
    <x v="3"/>
    <s v="WhatsApp"/>
    <n v="3224"/>
    <n v="403"/>
    <x v="35"/>
  </r>
  <r>
    <d v="2025-12-15T00:00:00"/>
    <s v="Curso ENEM"/>
    <x v="0"/>
    <s v="Ana"/>
    <n v="9"/>
    <n v="53.86"/>
    <x v="3"/>
    <s v="Loja"/>
    <n v="484.74"/>
    <n v="53.86"/>
    <x v="35"/>
  </r>
  <r>
    <d v="2025-12-16T00:00:00"/>
    <s v="Simulado Pro"/>
    <x v="1"/>
    <s v="Bruno"/>
    <n v="1"/>
    <n v="105.1"/>
    <x v="4"/>
    <s v="Online"/>
    <n v="105.1"/>
    <n v="105.1"/>
    <x v="35"/>
  </r>
  <r>
    <d v="2025-12-17T00:00:00"/>
    <s v="Mentoria ENEM"/>
    <x v="4"/>
    <s v="Ana"/>
    <n v="5"/>
    <n v="63.26"/>
    <x v="2"/>
    <s v="WhatsApp"/>
    <n v="316.3"/>
    <n v="63.260000000000005"/>
    <x v="35"/>
  </r>
  <r>
    <d v="2025-12-18T00:00:00"/>
    <s v="Material Revisão"/>
    <x v="3"/>
    <s v="Carla"/>
    <n v="4"/>
    <n v="194.41"/>
    <x v="0"/>
    <s v="WhatsApp"/>
    <n v="777.64"/>
    <n v="194.41"/>
    <x v="35"/>
  </r>
  <r>
    <d v="2025-12-20T00:00:00"/>
    <s v="Mentoria ENEM"/>
    <x v="4"/>
    <s v="Ana"/>
    <n v="7"/>
    <n v="327"/>
    <x v="3"/>
    <s v="Online"/>
    <n v="2289"/>
    <n v="327"/>
    <x v="35"/>
  </r>
  <r>
    <d v="2025-12-21T00:00:00"/>
    <s v="Material Revisão"/>
    <x v="3"/>
    <s v="Carla"/>
    <n v="6"/>
    <n v="213.2"/>
    <x v="1"/>
    <s v="Loja"/>
    <n v="1279.2"/>
    <n v="213.20000000000002"/>
    <x v="35"/>
  </r>
  <r>
    <d v="2025-12-22T00:00:00"/>
    <s v="Curso ENEM"/>
    <x v="2"/>
    <s v="Eduarda"/>
    <n v="3"/>
    <n v="264.62"/>
    <x v="0"/>
    <s v="Online"/>
    <n v="793.86"/>
    <n v="264.62"/>
    <x v="35"/>
  </r>
  <r>
    <d v="2025-12-23T00:00:00"/>
    <s v="Simulado Pro"/>
    <x v="1"/>
    <s v="Carla"/>
    <n v="1"/>
    <n v="173.67"/>
    <x v="1"/>
    <s v="Loja"/>
    <n v="173.67"/>
    <n v="173.67"/>
    <x v="35"/>
  </r>
  <r>
    <d v="2025-12-24T00:00:00"/>
    <s v="Simulado Pro"/>
    <x v="1"/>
    <s v="Bruno"/>
    <n v="8"/>
    <n v="288.24"/>
    <x v="4"/>
    <s v="Online"/>
    <n v="2305.92"/>
    <n v="288.24"/>
    <x v="35"/>
  </r>
  <r>
    <d v="2025-12-25T00:00:00"/>
    <s v="Curso ENEM"/>
    <x v="4"/>
    <s v="Ana"/>
    <n v="7"/>
    <n v="430.28"/>
    <x v="3"/>
    <s v="WhatsApp"/>
    <n v="3011.96"/>
    <n v="430.28000000000003"/>
    <x v="35"/>
  </r>
  <r>
    <d v="2025-12-26T00:00:00"/>
    <s v="Plano Premium"/>
    <x v="1"/>
    <s v="Carla"/>
    <n v="8"/>
    <n v="87.59"/>
    <x v="1"/>
    <s v="Online"/>
    <n v="700.72"/>
    <n v="87.59"/>
    <x v="35"/>
  </r>
  <r>
    <d v="2025-12-27T00:00:00"/>
    <s v="Simulado Pro"/>
    <x v="3"/>
    <s v="Bruno"/>
    <n v="7"/>
    <n v="316.72000000000003"/>
    <x v="2"/>
    <s v="WhatsApp"/>
    <n v="2217.04"/>
    <n v="316.71999999999997"/>
    <x v="35"/>
  </r>
  <r>
    <d v="2025-12-28T00:00:00"/>
    <s v="Curso ENEM"/>
    <x v="1"/>
    <s v="Diego"/>
    <n v="8"/>
    <n v="169.05"/>
    <x v="4"/>
    <s v="Loja"/>
    <n v="1352.4"/>
    <n v="169.05"/>
    <x v="35"/>
  </r>
  <r>
    <d v="2025-12-29T00:00:00"/>
    <s v="Simulado Pro"/>
    <x v="0"/>
    <s v="Eduarda"/>
    <n v="1"/>
    <n v="215.59"/>
    <x v="0"/>
    <s v="Indicação"/>
    <n v="215.59"/>
    <n v="215.59"/>
    <x v="35"/>
  </r>
  <r>
    <d v="2025-12-31T00:00:00"/>
    <s v="Mentoria ENEM"/>
    <x v="0"/>
    <s v="Ana"/>
    <n v="1"/>
    <n v="319.74"/>
    <x v="1"/>
    <s v="Indicação"/>
    <n v="319.74"/>
    <n v="319.74"/>
    <x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DAFF2E-91AC-4B12-BB60-53E914C0AD1F}" name="Tabela dinâmica1" cacheId="476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A4" firstHeaderRow="1" firstDataRow="1" firstDataCol="0"/>
  <pivotFields count="11"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Soma de Valor Total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13CF0-8443-4232-9C40-4111DF29D759}" name="Tabela dinâmica2" cacheId="476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A4" firstHeaderRow="1" firstDataRow="1" firstDataCol="0"/>
  <pivotFields count="11">
    <pivotField compact="0" numFmtId="164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Soma de Quantidad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E0E00C-A927-4265-A1A8-EF5F951B8A32}" name="Tabela dinâmica4" cacheId="476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A4" firstHeaderRow="1" firstDataRow="1" firstDataCol="0"/>
  <pivotFields count="11"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Items count="1">
    <i/>
  </rowItems>
  <colItems count="1">
    <i/>
  </colItems>
  <dataFields count="1">
    <dataField name="Média de Ticket Médio" fld="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A8682A-3053-4CE0-B41B-924D7954FB2B}" name="Tabela dinâmica5" cacheId="476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A3:B9" firstHeaderRow="1" firstDataRow="1" firstDataCol="1"/>
  <pivotFields count="11">
    <pivotField compact="0" numFmtId="164" outline="0" showAll="0"/>
    <pivotField compact="0" outline="0" showAll="0"/>
    <pivotField axis="axisRow" compact="0" outline="0" showAll="0">
      <items count="6">
        <item x="0"/>
        <item x="4"/>
        <item x="3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Valor Total" fld="8" baseField="0" baseItem="0"/>
  </dataFields>
  <chartFormats count="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E6D5AC-2D4D-437F-A2DE-55FDE57E9286}" name="Tabela dinâmica7" cacheId="476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A3:B9" firstHeaderRow="1" firstDataRow="1" firstDataCol="1"/>
  <pivotFields count="11"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Valor Total" fld="8" baseField="0" baseItem="0"/>
  </dataFields>
  <chartFormats count="3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4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53633-A46A-4CA9-8C37-1B163AA5D0F5}" name="Tabela dinâmica9" cacheId="476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A3:B40" firstHeaderRow="1" firstDataRow="1" firstDataCol="1"/>
  <pivotFields count="11"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</pivotFields>
  <rowFields count="1">
    <field x="10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dataFields count="1">
    <dataField name="Soma de Valor Total" fld="8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978D82-9489-48AA-910A-DE9074AE8055}" name="Tabela1" displayName="Tabela1" ref="A1:K1000" totalsRowShown="0" headerRowDxfId="5" headerRowBorderDxfId="3" tableBorderDxfId="4">
  <autoFilter ref="A1:K1000" xr:uid="{FF978D82-9489-48AA-910A-DE9074AE8055}"/>
  <tableColumns count="11">
    <tableColumn id="1" xr3:uid="{E2A60B02-8510-4987-A48A-7EF23DF9F8B5}" name="Data" dataDxfId="2"/>
    <tableColumn id="2" xr3:uid="{17AECF98-B72A-4059-A8F8-C6E47FC29D75}" name="Produto"/>
    <tableColumn id="3" xr3:uid="{22BC457A-6134-4C4C-886C-17E55BD22F48}" name="Categoria"/>
    <tableColumn id="4" xr3:uid="{319EB7B9-C73C-43D7-9A5A-29DB81084B4D}" name="Vendedor"/>
    <tableColumn id="5" xr3:uid="{A3110C56-E5EB-4ADD-BE84-3D712D34053C}" name="Quantidade"/>
    <tableColumn id="6" xr3:uid="{4DD73722-B5AE-4A1F-B1AA-4ACF3DA27D66}" name="Valor Unitário"/>
    <tableColumn id="7" xr3:uid="{0E74CA13-5772-45B5-A73F-F37AF3046FA1}" name="Região"/>
    <tableColumn id="8" xr3:uid="{EC7B7C3A-0259-4668-8E49-1FDA8B3BE5CA}" name="Canal"/>
    <tableColumn id="9" xr3:uid="{34E709C1-4B36-48AB-8456-64E4222B8274}" name="Valor Total"/>
    <tableColumn id="10" xr3:uid="{49BD1988-A3CC-446E-A68A-E6FD7AB9F951}" name="Ticket Médio" dataDxfId="1">
      <calculatedColumnFormula>Tabela1[[#This Row],[Valor Total]]/Tabela1[[#This Row],[Quantidade]]</calculatedColumnFormula>
    </tableColumn>
    <tableColumn id="11" xr3:uid="{3E4E186C-9008-4283-A574-0F66F7F3C443}" name="Ano--mês" dataDxfId="0">
      <calculatedColumnFormula>TEXT(Tabela1[[#This Row],[Data]],"aaaa-mm")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C30CE-97CA-41E7-A9A1-DB64EC4E124E}">
  <dimension ref="A3:A4"/>
  <sheetViews>
    <sheetView workbookViewId="0">
      <selection activeCell="A3" sqref="A3"/>
    </sheetView>
  </sheetViews>
  <sheetFormatPr defaultRowHeight="15"/>
  <cols>
    <col min="1" max="1" width="18.85546875" bestFit="1" customWidth="1"/>
  </cols>
  <sheetData>
    <row r="3" spans="1:1">
      <c r="A3" t="s">
        <v>0</v>
      </c>
    </row>
    <row r="4" spans="1:1">
      <c r="A4" s="3">
        <v>1289459.6200000008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43340-C4B5-48E2-AE83-D5A80E508863}">
  <dimension ref="A3:A4"/>
  <sheetViews>
    <sheetView workbookViewId="0">
      <selection activeCell="A3" sqref="A3"/>
    </sheetView>
  </sheetViews>
  <sheetFormatPr defaultRowHeight="15"/>
  <cols>
    <col min="1" max="1" width="19.5703125" bestFit="1" customWidth="1"/>
  </cols>
  <sheetData>
    <row r="3" spans="1:1">
      <c r="A3" t="s">
        <v>1</v>
      </c>
    </row>
    <row r="4" spans="1:1">
      <c r="A4" s="3">
        <v>4961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44F79-C67F-4767-8D2D-20EB550EB7D4}">
  <dimension ref="A3:A4"/>
  <sheetViews>
    <sheetView workbookViewId="0">
      <selection activeCell="A3" sqref="A3"/>
    </sheetView>
  </sheetViews>
  <sheetFormatPr defaultRowHeight="15"/>
  <cols>
    <col min="1" max="1" width="21.28515625" bestFit="1" customWidth="1"/>
  </cols>
  <sheetData>
    <row r="3" spans="1:1">
      <c r="A3" t="s">
        <v>2</v>
      </c>
    </row>
    <row r="4" spans="1:1">
      <c r="A4" s="3">
        <v>261.49200200200193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937EE-154C-4F31-AAA3-0D0096512437}">
  <dimension ref="A3:B9"/>
  <sheetViews>
    <sheetView workbookViewId="0">
      <selection activeCell="M16" sqref="M16"/>
    </sheetView>
  </sheetViews>
  <sheetFormatPr defaultRowHeight="15"/>
  <cols>
    <col min="1" max="1" width="12.5703125" bestFit="1" customWidth="1"/>
    <col min="2" max="2" width="18.85546875" bestFit="1" customWidth="1"/>
  </cols>
  <sheetData>
    <row r="3" spans="1:2">
      <c r="A3" s="4" t="s">
        <v>3</v>
      </c>
      <c r="B3" t="s">
        <v>0</v>
      </c>
    </row>
    <row r="4" spans="1:2">
      <c r="A4" t="s">
        <v>4</v>
      </c>
      <c r="B4" s="3">
        <v>283245.5399999998</v>
      </c>
    </row>
    <row r="5" spans="1:2">
      <c r="A5" t="s">
        <v>5</v>
      </c>
      <c r="B5" s="3">
        <v>268422.80000000022</v>
      </c>
    </row>
    <row r="6" spans="1:2">
      <c r="A6" t="s">
        <v>6</v>
      </c>
      <c r="B6" s="3">
        <v>270202.08</v>
      </c>
    </row>
    <row r="7" spans="1:2">
      <c r="A7" t="s">
        <v>7</v>
      </c>
      <c r="B7" s="3">
        <v>254056.6699999999</v>
      </c>
    </row>
    <row r="8" spans="1:2">
      <c r="A8" t="s">
        <v>8</v>
      </c>
      <c r="B8" s="3">
        <v>213532.52999999985</v>
      </c>
    </row>
    <row r="9" spans="1:2">
      <c r="A9" t="s">
        <v>9</v>
      </c>
      <c r="B9" s="3">
        <v>1289459.6199999999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4BC27-CCA1-4189-8921-A9A977F24A11}">
  <dimension ref="A3:B9"/>
  <sheetViews>
    <sheetView workbookViewId="0">
      <selection activeCell="A3" sqref="A3"/>
    </sheetView>
  </sheetViews>
  <sheetFormatPr defaultRowHeight="15"/>
  <cols>
    <col min="1" max="1" width="12.5703125" bestFit="1" customWidth="1"/>
    <col min="2" max="2" width="18.85546875" bestFit="1" customWidth="1"/>
  </cols>
  <sheetData>
    <row r="3" spans="1:2">
      <c r="A3" s="4" t="s">
        <v>10</v>
      </c>
      <c r="B3" t="s">
        <v>0</v>
      </c>
    </row>
    <row r="4" spans="1:2">
      <c r="A4" t="s">
        <v>11</v>
      </c>
      <c r="B4" s="3">
        <v>231483.3299999999</v>
      </c>
    </row>
    <row r="5" spans="1:2">
      <c r="A5" t="s">
        <v>12</v>
      </c>
      <c r="B5" s="3">
        <v>278237.72999999986</v>
      </c>
    </row>
    <row r="6" spans="1:2">
      <c r="A6" t="s">
        <v>13</v>
      </c>
      <c r="B6" s="3">
        <v>255500.72</v>
      </c>
    </row>
    <row r="7" spans="1:2">
      <c r="A7" t="s">
        <v>14</v>
      </c>
      <c r="B7" s="3">
        <v>244595.32999999993</v>
      </c>
    </row>
    <row r="8" spans="1:2">
      <c r="A8" t="s">
        <v>15</v>
      </c>
      <c r="B8" s="3">
        <v>279642.50999999995</v>
      </c>
    </row>
    <row r="9" spans="1:2">
      <c r="A9" t="s">
        <v>9</v>
      </c>
      <c r="B9" s="3">
        <v>1289459.6199999996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CA58E-CD56-468D-962B-A7548D4AB950}">
  <dimension ref="A3:B40"/>
  <sheetViews>
    <sheetView workbookViewId="0">
      <selection activeCell="E27" sqref="E27"/>
    </sheetView>
  </sheetViews>
  <sheetFormatPr defaultRowHeight="15"/>
  <cols>
    <col min="1" max="1" width="12.5703125" bestFit="1" customWidth="1"/>
    <col min="2" max="2" width="18.85546875" bestFit="1" customWidth="1"/>
  </cols>
  <sheetData>
    <row r="3" spans="1:2">
      <c r="A3" s="4" t="s">
        <v>16</v>
      </c>
      <c r="B3" t="s">
        <v>0</v>
      </c>
    </row>
    <row r="4" spans="1:2">
      <c r="A4" t="s">
        <v>17</v>
      </c>
      <c r="B4" s="3">
        <v>36483.960000000014</v>
      </c>
    </row>
    <row r="5" spans="1:2">
      <c r="A5" t="s">
        <v>18</v>
      </c>
      <c r="B5" s="3">
        <v>33368.6</v>
      </c>
    </row>
    <row r="6" spans="1:2">
      <c r="A6" t="s">
        <v>19</v>
      </c>
      <c r="B6" s="3">
        <v>36073.370000000003</v>
      </c>
    </row>
    <row r="7" spans="1:2">
      <c r="A7" t="s">
        <v>20</v>
      </c>
      <c r="B7" s="3">
        <v>39370.31</v>
      </c>
    </row>
    <row r="8" spans="1:2">
      <c r="A8" t="s">
        <v>21</v>
      </c>
      <c r="B8" s="3">
        <v>48694.44000000001</v>
      </c>
    </row>
    <row r="9" spans="1:2">
      <c r="A9" t="s">
        <v>22</v>
      </c>
      <c r="B9" s="3">
        <v>28323.54</v>
      </c>
    </row>
    <row r="10" spans="1:2">
      <c r="A10" t="s">
        <v>23</v>
      </c>
      <c r="B10" s="3">
        <v>29014.03</v>
      </c>
    </row>
    <row r="11" spans="1:2">
      <c r="A11" t="s">
        <v>24</v>
      </c>
      <c r="B11" s="3">
        <v>32895.990000000005</v>
      </c>
    </row>
    <row r="12" spans="1:2">
      <c r="A12" t="s">
        <v>25</v>
      </c>
      <c r="B12" s="3">
        <v>44356.920000000006</v>
      </c>
    </row>
    <row r="13" spans="1:2">
      <c r="A13" t="s">
        <v>26</v>
      </c>
      <c r="B13" s="3">
        <v>36644.58</v>
      </c>
    </row>
    <row r="14" spans="1:2">
      <c r="A14" t="s">
        <v>27</v>
      </c>
      <c r="B14" s="3">
        <v>36442.579999999994</v>
      </c>
    </row>
    <row r="15" spans="1:2">
      <c r="A15" t="s">
        <v>28</v>
      </c>
      <c r="B15" s="3">
        <v>34909.340000000004</v>
      </c>
    </row>
    <row r="16" spans="1:2">
      <c r="A16" t="s">
        <v>29</v>
      </c>
      <c r="B16" s="3">
        <v>35598.380000000005</v>
      </c>
    </row>
    <row r="17" spans="1:2">
      <c r="A17" t="s">
        <v>30</v>
      </c>
      <c r="B17" s="3">
        <v>32849.25</v>
      </c>
    </row>
    <row r="18" spans="1:2">
      <c r="A18" t="s">
        <v>31</v>
      </c>
      <c r="B18" s="3">
        <v>45622.529999999992</v>
      </c>
    </row>
    <row r="19" spans="1:2">
      <c r="A19" t="s">
        <v>32</v>
      </c>
      <c r="B19" s="3">
        <v>35120.559999999998</v>
      </c>
    </row>
    <row r="20" spans="1:2">
      <c r="A20" t="s">
        <v>33</v>
      </c>
      <c r="B20" s="3">
        <v>35271.760000000002</v>
      </c>
    </row>
    <row r="21" spans="1:2">
      <c r="A21" t="s">
        <v>34</v>
      </c>
      <c r="B21" s="3">
        <v>35025.130000000012</v>
      </c>
    </row>
    <row r="22" spans="1:2">
      <c r="A22" t="s">
        <v>35</v>
      </c>
      <c r="B22" s="3">
        <v>39690.99</v>
      </c>
    </row>
    <row r="23" spans="1:2">
      <c r="A23" t="s">
        <v>36</v>
      </c>
      <c r="B23" s="3">
        <v>38855.229999999996</v>
      </c>
    </row>
    <row r="24" spans="1:2">
      <c r="A24" t="s">
        <v>37</v>
      </c>
      <c r="B24" s="3">
        <v>32488.080000000005</v>
      </c>
    </row>
    <row r="25" spans="1:2">
      <c r="A25" t="s">
        <v>38</v>
      </c>
      <c r="B25" s="3">
        <v>36913.560000000005</v>
      </c>
    </row>
    <row r="26" spans="1:2">
      <c r="A26" t="s">
        <v>39</v>
      </c>
      <c r="B26" s="3">
        <v>34729.5</v>
      </c>
    </row>
    <row r="27" spans="1:2">
      <c r="A27" t="s">
        <v>40</v>
      </c>
      <c r="B27" s="3">
        <v>29563.45</v>
      </c>
    </row>
    <row r="28" spans="1:2">
      <c r="A28" t="s">
        <v>41</v>
      </c>
      <c r="B28" s="3">
        <v>33534.03</v>
      </c>
    </row>
    <row r="29" spans="1:2">
      <c r="A29" t="s">
        <v>42</v>
      </c>
      <c r="B29" s="3">
        <v>27273.52</v>
      </c>
    </row>
    <row r="30" spans="1:2">
      <c r="A30" t="s">
        <v>43</v>
      </c>
      <c r="B30" s="3">
        <v>37605.020000000011</v>
      </c>
    </row>
    <row r="31" spans="1:2">
      <c r="A31" t="s">
        <v>44</v>
      </c>
      <c r="B31" s="3">
        <v>38515.950000000004</v>
      </c>
    </row>
    <row r="32" spans="1:2">
      <c r="A32" t="s">
        <v>45</v>
      </c>
      <c r="B32" s="3">
        <v>31633.489999999998</v>
      </c>
    </row>
    <row r="33" spans="1:2">
      <c r="A33" t="s">
        <v>46</v>
      </c>
      <c r="B33" s="3">
        <v>33553.670000000006</v>
      </c>
    </row>
    <row r="34" spans="1:2">
      <c r="A34" t="s">
        <v>47</v>
      </c>
      <c r="B34" s="3">
        <v>36416.120000000003</v>
      </c>
    </row>
    <row r="35" spans="1:2">
      <c r="A35" t="s">
        <v>48</v>
      </c>
      <c r="B35" s="3">
        <v>43569.970000000008</v>
      </c>
    </row>
    <row r="36" spans="1:2">
      <c r="A36" t="s">
        <v>49</v>
      </c>
      <c r="B36" s="3">
        <v>37939.67</v>
      </c>
    </row>
    <row r="37" spans="1:2">
      <c r="A37" t="s">
        <v>50</v>
      </c>
      <c r="B37" s="3">
        <v>35220.78</v>
      </c>
    </row>
    <row r="38" spans="1:2">
      <c r="A38" t="s">
        <v>51</v>
      </c>
      <c r="B38" s="3">
        <v>31463.979999999996</v>
      </c>
    </row>
    <row r="39" spans="1:2">
      <c r="A39" t="s">
        <v>52</v>
      </c>
      <c r="B39" s="3">
        <v>34427.339999999997</v>
      </c>
    </row>
    <row r="40" spans="1:2">
      <c r="A40" t="s">
        <v>9</v>
      </c>
      <c r="B40" s="3">
        <v>1289459.6200000001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6B61D-7DFC-4E06-A496-AAF82E3C5C0C}">
  <dimension ref="D1:T1"/>
  <sheetViews>
    <sheetView tabSelected="1" workbookViewId="0">
      <selection activeCell="AH22" sqref="AH22"/>
    </sheetView>
  </sheetViews>
  <sheetFormatPr defaultRowHeight="15"/>
  <sheetData>
    <row r="1" spans="4:20">
      <c r="D1" s="6" t="s">
        <v>0</v>
      </c>
      <c r="L1" s="6" t="s">
        <v>1</v>
      </c>
      <c r="T1" s="6" t="s">
        <v>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4"/>
  <sheetViews>
    <sheetView workbookViewId="0">
      <selection activeCell="F78" sqref="F78"/>
    </sheetView>
  </sheetViews>
  <sheetFormatPr defaultRowHeight="15"/>
  <cols>
    <col min="1" max="1" width="10.85546875" bestFit="1" customWidth="1"/>
    <col min="2" max="2" width="15.28515625" bestFit="1" customWidth="1"/>
    <col min="3" max="3" width="11.7109375" bestFit="1" customWidth="1"/>
    <col min="4" max="4" width="12" bestFit="1" customWidth="1"/>
    <col min="5" max="5" width="13.7109375" bestFit="1" customWidth="1"/>
    <col min="6" max="6" width="15.5703125" bestFit="1" customWidth="1"/>
    <col min="7" max="7" width="12.5703125" bestFit="1" customWidth="1"/>
    <col min="8" max="8" width="10" bestFit="1" customWidth="1"/>
    <col min="9" max="9" width="13" bestFit="1" customWidth="1"/>
    <col min="10" max="10" width="14.7109375" bestFit="1" customWidth="1"/>
    <col min="11" max="11" width="11.7109375" bestFit="1" customWidth="1"/>
  </cols>
  <sheetData>
    <row r="1" spans="1:13">
      <c r="A1" s="2" t="s">
        <v>53</v>
      </c>
      <c r="B1" s="2" t="s">
        <v>54</v>
      </c>
      <c r="C1" s="2" t="s">
        <v>3</v>
      </c>
      <c r="D1" s="2" t="s">
        <v>55</v>
      </c>
      <c r="E1" s="2" t="s">
        <v>56</v>
      </c>
      <c r="F1" s="2" t="s">
        <v>57</v>
      </c>
      <c r="G1" s="2" t="s">
        <v>10</v>
      </c>
      <c r="H1" s="2" t="s">
        <v>58</v>
      </c>
      <c r="I1" s="2" t="s">
        <v>59</v>
      </c>
      <c r="J1" s="2" t="s">
        <v>60</v>
      </c>
      <c r="K1" s="2" t="s">
        <v>16</v>
      </c>
    </row>
    <row r="2" spans="1:13">
      <c r="A2" s="1">
        <v>44927</v>
      </c>
      <c r="B2" t="s">
        <v>61</v>
      </c>
      <c r="C2" t="s">
        <v>4</v>
      </c>
      <c r="D2" t="s">
        <v>62</v>
      </c>
      <c r="E2">
        <v>1</v>
      </c>
      <c r="F2">
        <v>328.54</v>
      </c>
      <c r="G2" t="s">
        <v>11</v>
      </c>
      <c r="H2" t="s">
        <v>63</v>
      </c>
      <c r="I2">
        <v>328.54</v>
      </c>
      <c r="J2">
        <f>Tabela1[[#This Row],[Valor Total]]/Tabela1[[#This Row],[Quantidade]]</f>
        <v>328.54</v>
      </c>
      <c r="K2" t="str">
        <f>TEXT(Tabela1[[#This Row],[Data]],"aaaa-mm")</f>
        <v>2023-01</v>
      </c>
    </row>
    <row r="3" spans="1:13">
      <c r="A3" s="1">
        <v>44928</v>
      </c>
      <c r="B3" t="s">
        <v>61</v>
      </c>
      <c r="C3" t="s">
        <v>4</v>
      </c>
      <c r="D3" t="s">
        <v>62</v>
      </c>
      <c r="E3">
        <v>8</v>
      </c>
      <c r="F3">
        <v>237.02</v>
      </c>
      <c r="G3" t="s">
        <v>15</v>
      </c>
      <c r="H3" t="s">
        <v>64</v>
      </c>
      <c r="I3">
        <v>1896.16</v>
      </c>
      <c r="J3">
        <f>Tabela1[[#This Row],[Valor Total]]/Tabela1[[#This Row],[Quantidade]]</f>
        <v>237.02</v>
      </c>
      <c r="K3" t="str">
        <f>TEXT(Tabela1[[#This Row],[Data]],"aaaa-mm")</f>
        <v>2023-01</v>
      </c>
    </row>
    <row r="4" spans="1:13">
      <c r="A4" s="1">
        <v>44930</v>
      </c>
      <c r="B4" t="s">
        <v>61</v>
      </c>
      <c r="C4" t="s">
        <v>7</v>
      </c>
      <c r="D4" t="s">
        <v>65</v>
      </c>
      <c r="E4">
        <v>3</v>
      </c>
      <c r="F4">
        <v>317.02</v>
      </c>
      <c r="G4" t="s">
        <v>14</v>
      </c>
      <c r="H4" t="s">
        <v>64</v>
      </c>
      <c r="I4">
        <v>951.06</v>
      </c>
      <c r="J4">
        <f>Tabela1[[#This Row],[Valor Total]]/Tabela1[[#This Row],[Quantidade]]</f>
        <v>317.02</v>
      </c>
      <c r="K4" t="str">
        <f>TEXT(Tabela1[[#This Row],[Data]],"aaaa-mm")</f>
        <v>2023-01</v>
      </c>
    </row>
    <row r="5" spans="1:13">
      <c r="A5" s="1">
        <v>44931</v>
      </c>
      <c r="B5" t="s">
        <v>61</v>
      </c>
      <c r="C5" t="s">
        <v>8</v>
      </c>
      <c r="D5" t="s">
        <v>66</v>
      </c>
      <c r="E5">
        <v>6</v>
      </c>
      <c r="F5">
        <v>398.12</v>
      </c>
      <c r="G5" t="s">
        <v>15</v>
      </c>
      <c r="H5" t="s">
        <v>67</v>
      </c>
      <c r="I5">
        <v>2388.7199999999998</v>
      </c>
      <c r="J5">
        <f>Tabela1[[#This Row],[Valor Total]]/Tabela1[[#This Row],[Quantidade]]</f>
        <v>398.11999999999995</v>
      </c>
      <c r="K5" t="str">
        <f>TEXT(Tabela1[[#This Row],[Data]],"aaaa-mm")</f>
        <v>2023-01</v>
      </c>
    </row>
    <row r="6" spans="1:13">
      <c r="A6" s="1">
        <v>44932</v>
      </c>
      <c r="B6" t="s">
        <v>68</v>
      </c>
      <c r="C6" t="s">
        <v>6</v>
      </c>
      <c r="D6" t="s">
        <v>65</v>
      </c>
      <c r="E6">
        <v>1</v>
      </c>
      <c r="F6">
        <v>373.83</v>
      </c>
      <c r="G6" t="s">
        <v>15</v>
      </c>
      <c r="H6" t="s">
        <v>67</v>
      </c>
      <c r="I6">
        <v>373.83</v>
      </c>
      <c r="J6">
        <f>Tabela1[[#This Row],[Valor Total]]/Tabela1[[#This Row],[Quantidade]]</f>
        <v>373.83</v>
      </c>
      <c r="K6" t="str">
        <f>TEXT(Tabela1[[#This Row],[Data]],"aaaa-mm")</f>
        <v>2023-01</v>
      </c>
      <c r="M6" s="5"/>
    </row>
    <row r="7" spans="1:13">
      <c r="A7" s="1">
        <v>44933</v>
      </c>
      <c r="B7" t="s">
        <v>61</v>
      </c>
      <c r="C7" t="s">
        <v>4</v>
      </c>
      <c r="D7" t="s">
        <v>62</v>
      </c>
      <c r="E7">
        <v>2</v>
      </c>
      <c r="F7">
        <v>213.84</v>
      </c>
      <c r="G7" t="s">
        <v>14</v>
      </c>
      <c r="H7" t="s">
        <v>64</v>
      </c>
      <c r="I7">
        <v>427.68</v>
      </c>
      <c r="J7">
        <f>Tabela1[[#This Row],[Valor Total]]/Tabela1[[#This Row],[Quantidade]]</f>
        <v>213.84</v>
      </c>
      <c r="K7" t="str">
        <f>TEXT(Tabela1[[#This Row],[Data]],"aaaa-mm")</f>
        <v>2023-01</v>
      </c>
    </row>
    <row r="8" spans="1:13">
      <c r="A8" s="1">
        <v>44934</v>
      </c>
      <c r="B8" t="s">
        <v>69</v>
      </c>
      <c r="C8" t="s">
        <v>7</v>
      </c>
      <c r="D8" t="s">
        <v>66</v>
      </c>
      <c r="E8">
        <v>5</v>
      </c>
      <c r="F8">
        <v>308.47000000000003</v>
      </c>
      <c r="G8" t="s">
        <v>12</v>
      </c>
      <c r="H8" t="s">
        <v>64</v>
      </c>
      <c r="I8">
        <v>1542.35</v>
      </c>
      <c r="J8">
        <f>Tabela1[[#This Row],[Valor Total]]/Tabela1[[#This Row],[Quantidade]]</f>
        <v>308.46999999999997</v>
      </c>
      <c r="K8" t="str">
        <f>TEXT(Tabela1[[#This Row],[Data]],"aaaa-mm")</f>
        <v>2023-01</v>
      </c>
    </row>
    <row r="9" spans="1:13">
      <c r="A9" s="1">
        <v>44935</v>
      </c>
      <c r="B9" t="s">
        <v>69</v>
      </c>
      <c r="C9" t="s">
        <v>8</v>
      </c>
      <c r="D9" t="s">
        <v>70</v>
      </c>
      <c r="E9">
        <v>5</v>
      </c>
      <c r="F9">
        <v>455.42</v>
      </c>
      <c r="G9" t="s">
        <v>11</v>
      </c>
      <c r="H9" t="s">
        <v>64</v>
      </c>
      <c r="I9">
        <v>2277.1</v>
      </c>
      <c r="J9">
        <f>Tabela1[[#This Row],[Valor Total]]/Tabela1[[#This Row],[Quantidade]]</f>
        <v>455.41999999999996</v>
      </c>
      <c r="K9" t="str">
        <f>TEXT(Tabela1[[#This Row],[Data]],"aaaa-mm")</f>
        <v>2023-01</v>
      </c>
    </row>
    <row r="10" spans="1:13">
      <c r="A10" s="1">
        <v>44936</v>
      </c>
      <c r="B10" t="s">
        <v>68</v>
      </c>
      <c r="C10" t="s">
        <v>8</v>
      </c>
      <c r="D10" t="s">
        <v>62</v>
      </c>
      <c r="E10">
        <v>4</v>
      </c>
      <c r="F10">
        <v>418.26</v>
      </c>
      <c r="G10" t="s">
        <v>12</v>
      </c>
      <c r="H10" t="s">
        <v>71</v>
      </c>
      <c r="I10">
        <v>1673.04</v>
      </c>
      <c r="J10">
        <f>Tabela1[[#This Row],[Valor Total]]/Tabela1[[#This Row],[Quantidade]]</f>
        <v>418.26</v>
      </c>
      <c r="K10" t="str">
        <f>TEXT(Tabela1[[#This Row],[Data]],"aaaa-mm")</f>
        <v>2023-01</v>
      </c>
    </row>
    <row r="11" spans="1:13">
      <c r="A11" s="1">
        <v>44937</v>
      </c>
      <c r="B11" t="s">
        <v>72</v>
      </c>
      <c r="C11" t="s">
        <v>5</v>
      </c>
      <c r="D11" t="s">
        <v>62</v>
      </c>
      <c r="E11">
        <v>6</v>
      </c>
      <c r="F11">
        <v>300.13</v>
      </c>
      <c r="G11" t="s">
        <v>14</v>
      </c>
      <c r="H11" t="s">
        <v>64</v>
      </c>
      <c r="I11">
        <v>1800.78</v>
      </c>
      <c r="J11">
        <f>Tabela1[[#This Row],[Valor Total]]/Tabela1[[#This Row],[Quantidade]]</f>
        <v>300.13</v>
      </c>
      <c r="K11" t="str">
        <f>TEXT(Tabela1[[#This Row],[Data]],"aaaa-mm")</f>
        <v>2023-01</v>
      </c>
    </row>
    <row r="12" spans="1:13">
      <c r="A12" s="1">
        <v>44939</v>
      </c>
      <c r="B12" t="s">
        <v>72</v>
      </c>
      <c r="C12" t="s">
        <v>5</v>
      </c>
      <c r="D12" t="s">
        <v>70</v>
      </c>
      <c r="E12">
        <v>4</v>
      </c>
      <c r="F12">
        <v>45.73</v>
      </c>
      <c r="G12" t="s">
        <v>11</v>
      </c>
      <c r="H12" t="s">
        <v>63</v>
      </c>
      <c r="I12">
        <v>182.92</v>
      </c>
      <c r="J12">
        <f>Tabela1[[#This Row],[Valor Total]]/Tabela1[[#This Row],[Quantidade]]</f>
        <v>45.73</v>
      </c>
      <c r="K12" t="str">
        <f>TEXT(Tabela1[[#This Row],[Data]],"aaaa-mm")</f>
        <v>2023-01</v>
      </c>
    </row>
    <row r="13" spans="1:13">
      <c r="A13" s="1">
        <v>44940</v>
      </c>
      <c r="B13" t="s">
        <v>61</v>
      </c>
      <c r="C13" t="s">
        <v>4</v>
      </c>
      <c r="D13" t="s">
        <v>62</v>
      </c>
      <c r="E13">
        <v>7</v>
      </c>
      <c r="F13">
        <v>492.53</v>
      </c>
      <c r="G13" t="s">
        <v>15</v>
      </c>
      <c r="H13" t="s">
        <v>71</v>
      </c>
      <c r="I13">
        <v>3447.71</v>
      </c>
      <c r="J13">
        <f>Tabela1[[#This Row],[Valor Total]]/Tabela1[[#This Row],[Quantidade]]</f>
        <v>492.53000000000003</v>
      </c>
      <c r="K13" t="str">
        <f>TEXT(Tabela1[[#This Row],[Data]],"aaaa-mm")</f>
        <v>2023-01</v>
      </c>
    </row>
    <row r="14" spans="1:13">
      <c r="A14" s="1">
        <v>44941</v>
      </c>
      <c r="B14" t="s">
        <v>68</v>
      </c>
      <c r="C14" t="s">
        <v>5</v>
      </c>
      <c r="D14" t="s">
        <v>66</v>
      </c>
      <c r="E14">
        <v>8</v>
      </c>
      <c r="F14">
        <v>169.65</v>
      </c>
      <c r="G14" t="s">
        <v>13</v>
      </c>
      <c r="H14" t="s">
        <v>63</v>
      </c>
      <c r="I14">
        <v>1357.2</v>
      </c>
      <c r="J14">
        <f>Tabela1[[#This Row],[Valor Total]]/Tabela1[[#This Row],[Quantidade]]</f>
        <v>169.65</v>
      </c>
      <c r="K14" t="str">
        <f>TEXT(Tabela1[[#This Row],[Data]],"aaaa-mm")</f>
        <v>2023-01</v>
      </c>
    </row>
    <row r="15" spans="1:13">
      <c r="A15" s="1">
        <v>44942</v>
      </c>
      <c r="B15" t="s">
        <v>72</v>
      </c>
      <c r="C15" t="s">
        <v>8</v>
      </c>
      <c r="D15" t="s">
        <v>73</v>
      </c>
      <c r="E15">
        <v>6</v>
      </c>
      <c r="F15">
        <v>133.22999999999999</v>
      </c>
      <c r="G15" t="s">
        <v>11</v>
      </c>
      <c r="H15" t="s">
        <v>63</v>
      </c>
      <c r="I15">
        <v>799.37999999999988</v>
      </c>
      <c r="J15">
        <f>Tabela1[[#This Row],[Valor Total]]/Tabela1[[#This Row],[Quantidade]]</f>
        <v>133.22999999999999</v>
      </c>
      <c r="K15" t="str">
        <f>TEXT(Tabela1[[#This Row],[Data]],"aaaa-mm")</f>
        <v>2023-01</v>
      </c>
    </row>
    <row r="16" spans="1:13">
      <c r="A16" s="1">
        <v>44943</v>
      </c>
      <c r="B16" t="s">
        <v>69</v>
      </c>
      <c r="C16" t="s">
        <v>6</v>
      </c>
      <c r="D16" t="s">
        <v>62</v>
      </c>
      <c r="E16">
        <v>8</v>
      </c>
      <c r="F16">
        <v>439.34</v>
      </c>
      <c r="G16" t="s">
        <v>12</v>
      </c>
      <c r="H16" t="s">
        <v>67</v>
      </c>
      <c r="I16">
        <v>3514.72</v>
      </c>
      <c r="J16">
        <f>Tabela1[[#This Row],[Valor Total]]/Tabela1[[#This Row],[Quantidade]]</f>
        <v>439.34</v>
      </c>
      <c r="K16" t="str">
        <f>TEXT(Tabela1[[#This Row],[Data]],"aaaa-mm")</f>
        <v>2023-01</v>
      </c>
    </row>
    <row r="17" spans="1:11">
      <c r="A17" s="1">
        <v>44944</v>
      </c>
      <c r="B17" t="s">
        <v>72</v>
      </c>
      <c r="C17" t="s">
        <v>6</v>
      </c>
      <c r="D17" t="s">
        <v>65</v>
      </c>
      <c r="E17">
        <v>8</v>
      </c>
      <c r="F17">
        <v>186.03</v>
      </c>
      <c r="G17" t="s">
        <v>11</v>
      </c>
      <c r="H17" t="s">
        <v>63</v>
      </c>
      <c r="I17">
        <v>1488.24</v>
      </c>
      <c r="J17">
        <f>Tabela1[[#This Row],[Valor Total]]/Tabela1[[#This Row],[Quantidade]]</f>
        <v>186.03</v>
      </c>
      <c r="K17" t="str">
        <f>TEXT(Tabela1[[#This Row],[Data]],"aaaa-mm")</f>
        <v>2023-01</v>
      </c>
    </row>
    <row r="18" spans="1:11">
      <c r="A18" s="1">
        <v>44945</v>
      </c>
      <c r="B18" t="s">
        <v>61</v>
      </c>
      <c r="C18" t="s">
        <v>4</v>
      </c>
      <c r="D18" t="s">
        <v>73</v>
      </c>
      <c r="E18">
        <v>9</v>
      </c>
      <c r="F18">
        <v>269.61</v>
      </c>
      <c r="G18" t="s">
        <v>14</v>
      </c>
      <c r="H18" t="s">
        <v>64</v>
      </c>
      <c r="I18">
        <v>2426.4899999999998</v>
      </c>
      <c r="J18">
        <f>Tabela1[[#This Row],[Valor Total]]/Tabela1[[#This Row],[Quantidade]]</f>
        <v>269.60999999999996</v>
      </c>
      <c r="K18" t="str">
        <f>TEXT(Tabela1[[#This Row],[Data]],"aaaa-mm")</f>
        <v>2023-01</v>
      </c>
    </row>
    <row r="19" spans="1:11">
      <c r="A19" s="1">
        <v>44946</v>
      </c>
      <c r="B19" t="s">
        <v>68</v>
      </c>
      <c r="C19" t="s">
        <v>7</v>
      </c>
      <c r="D19" t="s">
        <v>70</v>
      </c>
      <c r="E19">
        <v>3</v>
      </c>
      <c r="F19">
        <v>63.02</v>
      </c>
      <c r="G19" t="s">
        <v>12</v>
      </c>
      <c r="H19" t="s">
        <v>71</v>
      </c>
      <c r="I19">
        <v>189.06</v>
      </c>
      <c r="J19">
        <f>Tabela1[[#This Row],[Valor Total]]/Tabela1[[#This Row],[Quantidade]]</f>
        <v>63.02</v>
      </c>
      <c r="K19" t="str">
        <f>TEXT(Tabela1[[#This Row],[Data]],"aaaa-mm")</f>
        <v>2023-01</v>
      </c>
    </row>
    <row r="20" spans="1:11">
      <c r="A20" s="1">
        <v>44947</v>
      </c>
      <c r="B20" t="s">
        <v>74</v>
      </c>
      <c r="C20" t="s">
        <v>5</v>
      </c>
      <c r="D20" t="s">
        <v>70</v>
      </c>
      <c r="E20">
        <v>8</v>
      </c>
      <c r="F20">
        <v>121.51</v>
      </c>
      <c r="G20" t="s">
        <v>14</v>
      </c>
      <c r="H20" t="s">
        <v>67</v>
      </c>
      <c r="I20">
        <v>972.08</v>
      </c>
      <c r="J20">
        <f>Tabela1[[#This Row],[Valor Total]]/Tabela1[[#This Row],[Quantidade]]</f>
        <v>121.51</v>
      </c>
      <c r="K20" t="str">
        <f>TEXT(Tabela1[[#This Row],[Data]],"aaaa-mm")</f>
        <v>2023-01</v>
      </c>
    </row>
    <row r="21" spans="1:11">
      <c r="A21" s="1">
        <v>44948</v>
      </c>
      <c r="B21" t="s">
        <v>61</v>
      </c>
      <c r="C21" t="s">
        <v>4</v>
      </c>
      <c r="D21" t="s">
        <v>70</v>
      </c>
      <c r="E21">
        <v>4</v>
      </c>
      <c r="F21">
        <v>106.5</v>
      </c>
      <c r="G21" t="s">
        <v>15</v>
      </c>
      <c r="H21" t="s">
        <v>63</v>
      </c>
      <c r="I21">
        <v>426</v>
      </c>
      <c r="J21">
        <f>Tabela1[[#This Row],[Valor Total]]/Tabela1[[#This Row],[Quantidade]]</f>
        <v>106.5</v>
      </c>
      <c r="K21" t="str">
        <f>TEXT(Tabela1[[#This Row],[Data]],"aaaa-mm")</f>
        <v>2023-01</v>
      </c>
    </row>
    <row r="22" spans="1:11">
      <c r="A22" s="1">
        <v>44950</v>
      </c>
      <c r="B22" t="s">
        <v>61</v>
      </c>
      <c r="C22" t="s">
        <v>5</v>
      </c>
      <c r="D22" t="s">
        <v>66</v>
      </c>
      <c r="E22">
        <v>7</v>
      </c>
      <c r="F22">
        <v>213.01</v>
      </c>
      <c r="G22" t="s">
        <v>12</v>
      </c>
      <c r="H22" t="s">
        <v>71</v>
      </c>
      <c r="I22">
        <v>1491.07</v>
      </c>
      <c r="J22">
        <f>Tabela1[[#This Row],[Valor Total]]/Tabela1[[#This Row],[Quantidade]]</f>
        <v>213.01</v>
      </c>
      <c r="K22" t="str">
        <f>TEXT(Tabela1[[#This Row],[Data]],"aaaa-mm")</f>
        <v>2023-01</v>
      </c>
    </row>
    <row r="23" spans="1:11">
      <c r="A23" s="1">
        <v>44951</v>
      </c>
      <c r="B23" t="s">
        <v>68</v>
      </c>
      <c r="C23" t="s">
        <v>7</v>
      </c>
      <c r="D23" t="s">
        <v>62</v>
      </c>
      <c r="E23">
        <v>1</v>
      </c>
      <c r="F23">
        <v>210.43</v>
      </c>
      <c r="G23" t="s">
        <v>13</v>
      </c>
      <c r="H23" t="s">
        <v>64</v>
      </c>
      <c r="I23">
        <v>210.43</v>
      </c>
      <c r="J23">
        <f>Tabela1[[#This Row],[Valor Total]]/Tabela1[[#This Row],[Quantidade]]</f>
        <v>210.43</v>
      </c>
      <c r="K23" t="str">
        <f>TEXT(Tabela1[[#This Row],[Data]],"aaaa-mm")</f>
        <v>2023-01</v>
      </c>
    </row>
    <row r="24" spans="1:11">
      <c r="A24" s="1">
        <v>44952</v>
      </c>
      <c r="B24" t="s">
        <v>61</v>
      </c>
      <c r="C24" t="s">
        <v>8</v>
      </c>
      <c r="D24" t="s">
        <v>62</v>
      </c>
      <c r="E24">
        <v>3</v>
      </c>
      <c r="F24">
        <v>434.49</v>
      </c>
      <c r="G24" t="s">
        <v>13</v>
      </c>
      <c r="H24" t="s">
        <v>71</v>
      </c>
      <c r="I24">
        <v>1303.47</v>
      </c>
      <c r="J24">
        <f>Tabela1[[#This Row],[Valor Total]]/Tabela1[[#This Row],[Quantidade]]</f>
        <v>434.49</v>
      </c>
      <c r="K24" t="str">
        <f>TEXT(Tabela1[[#This Row],[Data]],"aaaa-mm")</f>
        <v>2023-01</v>
      </c>
    </row>
    <row r="25" spans="1:11">
      <c r="A25" s="1">
        <v>44953</v>
      </c>
      <c r="B25" t="s">
        <v>68</v>
      </c>
      <c r="C25" t="s">
        <v>4</v>
      </c>
      <c r="D25" t="s">
        <v>73</v>
      </c>
      <c r="E25">
        <v>6</v>
      </c>
      <c r="F25">
        <v>376.08</v>
      </c>
      <c r="G25" t="s">
        <v>15</v>
      </c>
      <c r="H25" t="s">
        <v>71</v>
      </c>
      <c r="I25">
        <v>2256.48</v>
      </c>
      <c r="J25">
        <f>Tabela1[[#This Row],[Valor Total]]/Tabela1[[#This Row],[Quantidade]]</f>
        <v>376.08</v>
      </c>
      <c r="K25" t="str">
        <f>TEXT(Tabela1[[#This Row],[Data]],"aaaa-mm")</f>
        <v>2023-01</v>
      </c>
    </row>
    <row r="26" spans="1:11">
      <c r="A26" s="1">
        <v>44954</v>
      </c>
      <c r="B26" t="s">
        <v>72</v>
      </c>
      <c r="C26" t="s">
        <v>4</v>
      </c>
      <c r="D26" t="s">
        <v>62</v>
      </c>
      <c r="E26">
        <v>7</v>
      </c>
      <c r="F26">
        <v>55.99</v>
      </c>
      <c r="G26" t="s">
        <v>15</v>
      </c>
      <c r="H26" t="s">
        <v>71</v>
      </c>
      <c r="I26">
        <v>391.93</v>
      </c>
      <c r="J26">
        <f>Tabela1[[#This Row],[Valor Total]]/Tabela1[[#This Row],[Quantidade]]</f>
        <v>55.99</v>
      </c>
      <c r="K26" t="str">
        <f>TEXT(Tabela1[[#This Row],[Data]],"aaaa-mm")</f>
        <v>2023-01</v>
      </c>
    </row>
    <row r="27" spans="1:11">
      <c r="A27" s="1">
        <v>44955</v>
      </c>
      <c r="B27" t="s">
        <v>61</v>
      </c>
      <c r="C27" t="s">
        <v>7</v>
      </c>
      <c r="D27" t="s">
        <v>66</v>
      </c>
      <c r="E27">
        <v>9</v>
      </c>
      <c r="F27">
        <v>116.12</v>
      </c>
      <c r="G27" t="s">
        <v>15</v>
      </c>
      <c r="H27" t="s">
        <v>64</v>
      </c>
      <c r="I27">
        <v>1045.08</v>
      </c>
      <c r="J27">
        <f>Tabela1[[#This Row],[Valor Total]]/Tabela1[[#This Row],[Quantidade]]</f>
        <v>116.11999999999999</v>
      </c>
      <c r="K27" t="str">
        <f>TEXT(Tabela1[[#This Row],[Data]],"aaaa-mm")</f>
        <v>2023-01</v>
      </c>
    </row>
    <row r="28" spans="1:11">
      <c r="A28" s="1">
        <v>44956</v>
      </c>
      <c r="B28" t="s">
        <v>61</v>
      </c>
      <c r="C28" t="s">
        <v>8</v>
      </c>
      <c r="D28" t="s">
        <v>73</v>
      </c>
      <c r="E28">
        <v>4</v>
      </c>
      <c r="F28">
        <v>20.079999999999998</v>
      </c>
      <c r="G28" t="s">
        <v>12</v>
      </c>
      <c r="H28" t="s">
        <v>63</v>
      </c>
      <c r="I28">
        <v>80.319999999999993</v>
      </c>
      <c r="J28">
        <f>Tabela1[[#This Row],[Valor Total]]/Tabela1[[#This Row],[Quantidade]]</f>
        <v>20.079999999999998</v>
      </c>
      <c r="K28" t="str">
        <f>TEXT(Tabela1[[#This Row],[Data]],"aaaa-mm")</f>
        <v>2023-01</v>
      </c>
    </row>
    <row r="29" spans="1:11">
      <c r="A29" s="1">
        <v>44957</v>
      </c>
      <c r="B29" t="s">
        <v>74</v>
      </c>
      <c r="C29" t="s">
        <v>6</v>
      </c>
      <c r="D29" t="s">
        <v>65</v>
      </c>
      <c r="E29">
        <v>3</v>
      </c>
      <c r="F29">
        <v>414.04</v>
      </c>
      <c r="G29" t="s">
        <v>13</v>
      </c>
      <c r="H29" t="s">
        <v>71</v>
      </c>
      <c r="I29">
        <v>1242.1199999999999</v>
      </c>
      <c r="J29">
        <f>Tabela1[[#This Row],[Valor Total]]/Tabela1[[#This Row],[Quantidade]]</f>
        <v>414.03999999999996</v>
      </c>
      <c r="K29" t="str">
        <f>TEXT(Tabela1[[#This Row],[Data]],"aaaa-mm")</f>
        <v>2023-01</v>
      </c>
    </row>
    <row r="30" spans="1:11">
      <c r="A30" s="1">
        <v>44958</v>
      </c>
      <c r="B30" t="s">
        <v>72</v>
      </c>
      <c r="C30" t="s">
        <v>8</v>
      </c>
      <c r="D30" t="s">
        <v>62</v>
      </c>
      <c r="E30">
        <v>2</v>
      </c>
      <c r="F30">
        <v>124.29</v>
      </c>
      <c r="G30" t="s">
        <v>15</v>
      </c>
      <c r="H30" t="s">
        <v>63</v>
      </c>
      <c r="I30">
        <v>248.58</v>
      </c>
      <c r="J30">
        <f>Tabela1[[#This Row],[Valor Total]]/Tabela1[[#This Row],[Quantidade]]</f>
        <v>124.29</v>
      </c>
      <c r="K30" t="str">
        <f>TEXT(Tabela1[[#This Row],[Data]],"aaaa-mm")</f>
        <v>2023-02</v>
      </c>
    </row>
    <row r="31" spans="1:11">
      <c r="A31" s="1">
        <v>44959</v>
      </c>
      <c r="B31" t="s">
        <v>61</v>
      </c>
      <c r="C31" t="s">
        <v>7</v>
      </c>
      <c r="D31" t="s">
        <v>65</v>
      </c>
      <c r="E31">
        <v>6</v>
      </c>
      <c r="F31">
        <v>134.9</v>
      </c>
      <c r="G31" t="s">
        <v>15</v>
      </c>
      <c r="H31" t="s">
        <v>64</v>
      </c>
      <c r="I31">
        <v>809.40000000000009</v>
      </c>
      <c r="J31">
        <f>Tabela1[[#This Row],[Valor Total]]/Tabela1[[#This Row],[Quantidade]]</f>
        <v>134.9</v>
      </c>
      <c r="K31" t="str">
        <f>TEXT(Tabela1[[#This Row],[Data]],"aaaa-mm")</f>
        <v>2023-02</v>
      </c>
    </row>
    <row r="32" spans="1:11">
      <c r="A32" s="1">
        <v>44960</v>
      </c>
      <c r="B32" t="s">
        <v>69</v>
      </c>
      <c r="C32" t="s">
        <v>7</v>
      </c>
      <c r="D32" t="s">
        <v>65</v>
      </c>
      <c r="E32">
        <v>1</v>
      </c>
      <c r="F32">
        <v>456.03</v>
      </c>
      <c r="G32" t="s">
        <v>12</v>
      </c>
      <c r="H32" t="s">
        <v>63</v>
      </c>
      <c r="I32">
        <v>456.03</v>
      </c>
      <c r="J32">
        <f>Tabela1[[#This Row],[Valor Total]]/Tabela1[[#This Row],[Quantidade]]</f>
        <v>456.03</v>
      </c>
      <c r="K32" t="str">
        <f>TEXT(Tabela1[[#This Row],[Data]],"aaaa-mm")</f>
        <v>2023-02</v>
      </c>
    </row>
    <row r="33" spans="1:11">
      <c r="A33" s="1">
        <v>44962</v>
      </c>
      <c r="B33" t="s">
        <v>61</v>
      </c>
      <c r="C33" t="s">
        <v>8</v>
      </c>
      <c r="D33" t="s">
        <v>73</v>
      </c>
      <c r="E33">
        <v>8</v>
      </c>
      <c r="F33">
        <v>22.59</v>
      </c>
      <c r="G33" t="s">
        <v>15</v>
      </c>
      <c r="H33" t="s">
        <v>67</v>
      </c>
      <c r="I33">
        <v>180.72</v>
      </c>
      <c r="J33">
        <f>Tabela1[[#This Row],[Valor Total]]/Tabela1[[#This Row],[Quantidade]]</f>
        <v>22.59</v>
      </c>
      <c r="K33" t="str">
        <f>TEXT(Tabela1[[#This Row],[Data]],"aaaa-mm")</f>
        <v>2023-02</v>
      </c>
    </row>
    <row r="34" spans="1:11">
      <c r="A34" s="1">
        <v>44963</v>
      </c>
      <c r="B34" t="s">
        <v>69</v>
      </c>
      <c r="C34" t="s">
        <v>7</v>
      </c>
      <c r="D34" t="s">
        <v>62</v>
      </c>
      <c r="E34">
        <v>2</v>
      </c>
      <c r="F34">
        <v>219.92</v>
      </c>
      <c r="G34" t="s">
        <v>11</v>
      </c>
      <c r="H34" t="s">
        <v>64</v>
      </c>
      <c r="I34">
        <v>439.84</v>
      </c>
      <c r="J34">
        <f>Tabela1[[#This Row],[Valor Total]]/Tabela1[[#This Row],[Quantidade]]</f>
        <v>219.92</v>
      </c>
      <c r="K34" t="str">
        <f>TEXT(Tabela1[[#This Row],[Data]],"aaaa-mm")</f>
        <v>2023-02</v>
      </c>
    </row>
    <row r="35" spans="1:11">
      <c r="A35" s="1">
        <v>44964</v>
      </c>
      <c r="B35" t="s">
        <v>69</v>
      </c>
      <c r="C35" t="s">
        <v>8</v>
      </c>
      <c r="D35" t="s">
        <v>65</v>
      </c>
      <c r="E35">
        <v>7</v>
      </c>
      <c r="F35">
        <v>198.44</v>
      </c>
      <c r="G35" t="s">
        <v>11</v>
      </c>
      <c r="H35" t="s">
        <v>63</v>
      </c>
      <c r="I35">
        <v>1389.08</v>
      </c>
      <c r="J35">
        <f>Tabela1[[#This Row],[Valor Total]]/Tabela1[[#This Row],[Quantidade]]</f>
        <v>198.44</v>
      </c>
      <c r="K35" t="str">
        <f>TEXT(Tabela1[[#This Row],[Data]],"aaaa-mm")</f>
        <v>2023-02</v>
      </c>
    </row>
    <row r="36" spans="1:11">
      <c r="A36" s="1">
        <v>44965</v>
      </c>
      <c r="B36" t="s">
        <v>72</v>
      </c>
      <c r="C36" t="s">
        <v>7</v>
      </c>
      <c r="D36" t="s">
        <v>62</v>
      </c>
      <c r="E36">
        <v>7</v>
      </c>
      <c r="F36">
        <v>147.94999999999999</v>
      </c>
      <c r="G36" t="s">
        <v>11</v>
      </c>
      <c r="H36" t="s">
        <v>71</v>
      </c>
      <c r="I36">
        <v>1035.6500000000001</v>
      </c>
      <c r="J36">
        <f>Tabela1[[#This Row],[Valor Total]]/Tabela1[[#This Row],[Quantidade]]</f>
        <v>147.95000000000002</v>
      </c>
      <c r="K36" t="str">
        <f>TEXT(Tabela1[[#This Row],[Data]],"aaaa-mm")</f>
        <v>2023-02</v>
      </c>
    </row>
    <row r="37" spans="1:11">
      <c r="A37" s="1">
        <v>44966</v>
      </c>
      <c r="B37" t="s">
        <v>61</v>
      </c>
      <c r="C37" t="s">
        <v>8</v>
      </c>
      <c r="D37" t="s">
        <v>73</v>
      </c>
      <c r="E37">
        <v>7</v>
      </c>
      <c r="F37">
        <v>219.22</v>
      </c>
      <c r="G37" t="s">
        <v>11</v>
      </c>
      <c r="H37" t="s">
        <v>64</v>
      </c>
      <c r="I37">
        <v>1534.54</v>
      </c>
      <c r="J37">
        <f>Tabela1[[#This Row],[Valor Total]]/Tabela1[[#This Row],[Quantidade]]</f>
        <v>219.22</v>
      </c>
      <c r="K37" t="str">
        <f>TEXT(Tabela1[[#This Row],[Data]],"aaaa-mm")</f>
        <v>2023-02</v>
      </c>
    </row>
    <row r="38" spans="1:11">
      <c r="A38" s="1">
        <v>44967</v>
      </c>
      <c r="B38" t="s">
        <v>72</v>
      </c>
      <c r="C38" t="s">
        <v>5</v>
      </c>
      <c r="D38" t="s">
        <v>62</v>
      </c>
      <c r="E38">
        <v>7</v>
      </c>
      <c r="F38">
        <v>382.5</v>
      </c>
      <c r="G38" t="s">
        <v>11</v>
      </c>
      <c r="H38" t="s">
        <v>63</v>
      </c>
      <c r="I38">
        <v>2677.5</v>
      </c>
      <c r="J38">
        <f>Tabela1[[#This Row],[Valor Total]]/Tabela1[[#This Row],[Quantidade]]</f>
        <v>382.5</v>
      </c>
      <c r="K38" t="str">
        <f>TEXT(Tabela1[[#This Row],[Data]],"aaaa-mm")</f>
        <v>2023-02</v>
      </c>
    </row>
    <row r="39" spans="1:11">
      <c r="A39" s="1">
        <v>44968</v>
      </c>
      <c r="B39" t="s">
        <v>74</v>
      </c>
      <c r="C39" t="s">
        <v>5</v>
      </c>
      <c r="D39" t="s">
        <v>70</v>
      </c>
      <c r="E39">
        <v>7</v>
      </c>
      <c r="F39">
        <v>449.24</v>
      </c>
      <c r="G39" t="s">
        <v>12</v>
      </c>
      <c r="H39" t="s">
        <v>71</v>
      </c>
      <c r="I39">
        <v>3144.68</v>
      </c>
      <c r="J39">
        <f>Tabela1[[#This Row],[Valor Total]]/Tabela1[[#This Row],[Quantidade]]</f>
        <v>449.23999999999995</v>
      </c>
      <c r="K39" t="str">
        <f>TEXT(Tabela1[[#This Row],[Data]],"aaaa-mm")</f>
        <v>2023-02</v>
      </c>
    </row>
    <row r="40" spans="1:11">
      <c r="A40" s="1">
        <v>44969</v>
      </c>
      <c r="B40" t="s">
        <v>74</v>
      </c>
      <c r="C40" t="s">
        <v>4</v>
      </c>
      <c r="D40" t="s">
        <v>70</v>
      </c>
      <c r="E40">
        <v>8</v>
      </c>
      <c r="F40">
        <v>20.2</v>
      </c>
      <c r="G40" t="s">
        <v>13</v>
      </c>
      <c r="H40" t="s">
        <v>67</v>
      </c>
      <c r="I40">
        <v>161.6</v>
      </c>
      <c r="J40">
        <f>Tabela1[[#This Row],[Valor Total]]/Tabela1[[#This Row],[Quantidade]]</f>
        <v>20.2</v>
      </c>
      <c r="K40" t="str">
        <f>TEXT(Tabela1[[#This Row],[Data]],"aaaa-mm")</f>
        <v>2023-02</v>
      </c>
    </row>
    <row r="41" spans="1:11">
      <c r="A41" s="1">
        <v>44970</v>
      </c>
      <c r="B41" t="s">
        <v>74</v>
      </c>
      <c r="C41" t="s">
        <v>8</v>
      </c>
      <c r="D41" t="s">
        <v>66</v>
      </c>
      <c r="E41">
        <v>6</v>
      </c>
      <c r="F41">
        <v>460</v>
      </c>
      <c r="G41" t="s">
        <v>15</v>
      </c>
      <c r="H41" t="s">
        <v>63</v>
      </c>
      <c r="I41">
        <v>2760</v>
      </c>
      <c r="J41">
        <f>Tabela1[[#This Row],[Valor Total]]/Tabela1[[#This Row],[Quantidade]]</f>
        <v>460</v>
      </c>
      <c r="K41" t="str">
        <f>TEXT(Tabela1[[#This Row],[Data]],"aaaa-mm")</f>
        <v>2023-02</v>
      </c>
    </row>
    <row r="42" spans="1:11">
      <c r="A42" s="1">
        <v>44971</v>
      </c>
      <c r="B42" t="s">
        <v>69</v>
      </c>
      <c r="C42" t="s">
        <v>4</v>
      </c>
      <c r="D42" t="s">
        <v>73</v>
      </c>
      <c r="E42">
        <v>4</v>
      </c>
      <c r="F42">
        <v>370.5</v>
      </c>
      <c r="G42" t="s">
        <v>13</v>
      </c>
      <c r="H42" t="s">
        <v>64</v>
      </c>
      <c r="I42">
        <v>1482</v>
      </c>
      <c r="J42">
        <f>Tabela1[[#This Row],[Valor Total]]/Tabela1[[#This Row],[Quantidade]]</f>
        <v>370.5</v>
      </c>
      <c r="K42" t="str">
        <f>TEXT(Tabela1[[#This Row],[Data]],"aaaa-mm")</f>
        <v>2023-02</v>
      </c>
    </row>
    <row r="43" spans="1:11">
      <c r="A43" s="1">
        <v>44973</v>
      </c>
      <c r="B43" t="s">
        <v>68</v>
      </c>
      <c r="C43" t="s">
        <v>8</v>
      </c>
      <c r="D43" t="s">
        <v>62</v>
      </c>
      <c r="E43">
        <v>5</v>
      </c>
      <c r="F43">
        <v>417.82</v>
      </c>
      <c r="G43" t="s">
        <v>11</v>
      </c>
      <c r="H43" t="s">
        <v>71</v>
      </c>
      <c r="I43">
        <v>2089.1</v>
      </c>
      <c r="J43">
        <f>Tabela1[[#This Row],[Valor Total]]/Tabela1[[#This Row],[Quantidade]]</f>
        <v>417.82</v>
      </c>
      <c r="K43" t="str">
        <f>TEXT(Tabela1[[#This Row],[Data]],"aaaa-mm")</f>
        <v>2023-02</v>
      </c>
    </row>
    <row r="44" spans="1:11">
      <c r="A44" s="1">
        <v>44974</v>
      </c>
      <c r="B44" t="s">
        <v>68</v>
      </c>
      <c r="C44" t="s">
        <v>8</v>
      </c>
      <c r="D44" t="s">
        <v>66</v>
      </c>
      <c r="E44">
        <v>1</v>
      </c>
      <c r="F44">
        <v>157.6</v>
      </c>
      <c r="G44" t="s">
        <v>11</v>
      </c>
      <c r="H44" t="s">
        <v>67</v>
      </c>
      <c r="I44">
        <v>157.6</v>
      </c>
      <c r="J44">
        <f>Tabela1[[#This Row],[Valor Total]]/Tabela1[[#This Row],[Quantidade]]</f>
        <v>157.6</v>
      </c>
      <c r="K44" t="str">
        <f>TEXT(Tabela1[[#This Row],[Data]],"aaaa-mm")</f>
        <v>2023-02</v>
      </c>
    </row>
    <row r="45" spans="1:11">
      <c r="A45" s="1">
        <v>44975</v>
      </c>
      <c r="B45" t="s">
        <v>74</v>
      </c>
      <c r="C45" t="s">
        <v>8</v>
      </c>
      <c r="D45" t="s">
        <v>73</v>
      </c>
      <c r="E45">
        <v>7</v>
      </c>
      <c r="F45">
        <v>477.51</v>
      </c>
      <c r="G45" t="s">
        <v>14</v>
      </c>
      <c r="H45" t="s">
        <v>63</v>
      </c>
      <c r="I45">
        <v>3342.57</v>
      </c>
      <c r="J45">
        <f>Tabela1[[#This Row],[Valor Total]]/Tabela1[[#This Row],[Quantidade]]</f>
        <v>477.51000000000005</v>
      </c>
      <c r="K45" t="str">
        <f>TEXT(Tabela1[[#This Row],[Data]],"aaaa-mm")</f>
        <v>2023-02</v>
      </c>
    </row>
    <row r="46" spans="1:11">
      <c r="A46" s="1">
        <v>44976</v>
      </c>
      <c r="B46" t="s">
        <v>69</v>
      </c>
      <c r="C46" t="s">
        <v>8</v>
      </c>
      <c r="D46" t="s">
        <v>65</v>
      </c>
      <c r="E46">
        <v>1</v>
      </c>
      <c r="F46">
        <v>419.85</v>
      </c>
      <c r="G46" t="s">
        <v>12</v>
      </c>
      <c r="H46" t="s">
        <v>63</v>
      </c>
      <c r="I46">
        <v>419.85</v>
      </c>
      <c r="J46">
        <f>Tabela1[[#This Row],[Valor Total]]/Tabela1[[#This Row],[Quantidade]]</f>
        <v>419.85</v>
      </c>
      <c r="K46" t="str">
        <f>TEXT(Tabela1[[#This Row],[Data]],"aaaa-mm")</f>
        <v>2023-02</v>
      </c>
    </row>
    <row r="47" spans="1:11">
      <c r="A47" s="1">
        <v>44977</v>
      </c>
      <c r="B47" t="s">
        <v>72</v>
      </c>
      <c r="C47" t="s">
        <v>7</v>
      </c>
      <c r="D47" t="s">
        <v>65</v>
      </c>
      <c r="E47">
        <v>5</v>
      </c>
      <c r="F47">
        <v>208.92</v>
      </c>
      <c r="G47" t="s">
        <v>11</v>
      </c>
      <c r="H47" t="s">
        <v>71</v>
      </c>
      <c r="I47">
        <v>1044.5999999999999</v>
      </c>
      <c r="J47">
        <f>Tabela1[[#This Row],[Valor Total]]/Tabela1[[#This Row],[Quantidade]]</f>
        <v>208.92</v>
      </c>
      <c r="K47" t="str">
        <f>TEXT(Tabela1[[#This Row],[Data]],"aaaa-mm")</f>
        <v>2023-02</v>
      </c>
    </row>
    <row r="48" spans="1:11">
      <c r="A48" s="1">
        <v>44978</v>
      </c>
      <c r="B48" t="s">
        <v>74</v>
      </c>
      <c r="C48" t="s">
        <v>5</v>
      </c>
      <c r="D48" t="s">
        <v>73</v>
      </c>
      <c r="E48">
        <v>4</v>
      </c>
      <c r="F48">
        <v>344.02</v>
      </c>
      <c r="G48" t="s">
        <v>11</v>
      </c>
      <c r="H48" t="s">
        <v>63</v>
      </c>
      <c r="I48">
        <v>1376.08</v>
      </c>
      <c r="J48">
        <f>Tabela1[[#This Row],[Valor Total]]/Tabela1[[#This Row],[Quantidade]]</f>
        <v>344.02</v>
      </c>
      <c r="K48" t="str">
        <f>TEXT(Tabela1[[#This Row],[Data]],"aaaa-mm")</f>
        <v>2023-02</v>
      </c>
    </row>
    <row r="49" spans="1:11">
      <c r="A49" s="1">
        <v>44979</v>
      </c>
      <c r="B49" t="s">
        <v>69</v>
      </c>
      <c r="C49" t="s">
        <v>8</v>
      </c>
      <c r="D49" t="s">
        <v>73</v>
      </c>
      <c r="E49">
        <v>3</v>
      </c>
      <c r="F49">
        <v>171.35</v>
      </c>
      <c r="G49" t="s">
        <v>11</v>
      </c>
      <c r="H49" t="s">
        <v>64</v>
      </c>
      <c r="I49">
        <v>514.04999999999995</v>
      </c>
      <c r="J49">
        <f>Tabela1[[#This Row],[Valor Total]]/Tabela1[[#This Row],[Quantidade]]</f>
        <v>171.35</v>
      </c>
      <c r="K49" t="str">
        <f>TEXT(Tabela1[[#This Row],[Data]],"aaaa-mm")</f>
        <v>2023-02</v>
      </c>
    </row>
    <row r="50" spans="1:11">
      <c r="A50" s="1">
        <v>44980</v>
      </c>
      <c r="B50" t="s">
        <v>74</v>
      </c>
      <c r="C50" t="s">
        <v>4</v>
      </c>
      <c r="D50" t="s">
        <v>70</v>
      </c>
      <c r="E50">
        <v>7</v>
      </c>
      <c r="F50">
        <v>343.56</v>
      </c>
      <c r="G50" t="s">
        <v>13</v>
      </c>
      <c r="H50" t="s">
        <v>71</v>
      </c>
      <c r="I50">
        <v>2404.92</v>
      </c>
      <c r="J50">
        <f>Tabela1[[#This Row],[Valor Total]]/Tabela1[[#This Row],[Quantidade]]</f>
        <v>343.56</v>
      </c>
      <c r="K50" t="str">
        <f>TEXT(Tabela1[[#This Row],[Data]],"aaaa-mm")</f>
        <v>2023-02</v>
      </c>
    </row>
    <row r="51" spans="1:11">
      <c r="A51" s="1">
        <v>44981</v>
      </c>
      <c r="B51" t="s">
        <v>72</v>
      </c>
      <c r="C51" t="s">
        <v>6</v>
      </c>
      <c r="D51" t="s">
        <v>70</v>
      </c>
      <c r="E51">
        <v>3</v>
      </c>
      <c r="F51">
        <v>472.49</v>
      </c>
      <c r="G51" t="s">
        <v>11</v>
      </c>
      <c r="H51" t="s">
        <v>64</v>
      </c>
      <c r="I51">
        <v>1417.47</v>
      </c>
      <c r="J51">
        <f>Tabela1[[#This Row],[Valor Total]]/Tabela1[[#This Row],[Quantidade]]</f>
        <v>472.49</v>
      </c>
      <c r="K51" t="str">
        <f>TEXT(Tabela1[[#This Row],[Data]],"aaaa-mm")</f>
        <v>2023-02</v>
      </c>
    </row>
    <row r="52" spans="1:11">
      <c r="A52" s="1">
        <v>44982</v>
      </c>
      <c r="B52" t="s">
        <v>61</v>
      </c>
      <c r="C52" t="s">
        <v>8</v>
      </c>
      <c r="D52" t="s">
        <v>70</v>
      </c>
      <c r="E52">
        <v>8</v>
      </c>
      <c r="F52">
        <v>83.2</v>
      </c>
      <c r="G52" t="s">
        <v>15</v>
      </c>
      <c r="H52" t="s">
        <v>63</v>
      </c>
      <c r="I52">
        <v>665.6</v>
      </c>
      <c r="J52">
        <f>Tabela1[[#This Row],[Valor Total]]/Tabela1[[#This Row],[Quantidade]]</f>
        <v>83.2</v>
      </c>
      <c r="K52" t="str">
        <f>TEXT(Tabela1[[#This Row],[Data]],"aaaa-mm")</f>
        <v>2023-02</v>
      </c>
    </row>
    <row r="53" spans="1:11">
      <c r="A53" s="1">
        <v>44983</v>
      </c>
      <c r="B53" t="s">
        <v>68</v>
      </c>
      <c r="C53" t="s">
        <v>7</v>
      </c>
      <c r="D53" t="s">
        <v>65</v>
      </c>
      <c r="E53">
        <v>4</v>
      </c>
      <c r="F53">
        <v>81.96</v>
      </c>
      <c r="G53" t="s">
        <v>14</v>
      </c>
      <c r="H53" t="s">
        <v>71</v>
      </c>
      <c r="I53">
        <v>327.84</v>
      </c>
      <c r="J53">
        <f>Tabela1[[#This Row],[Valor Total]]/Tabela1[[#This Row],[Quantidade]]</f>
        <v>81.96</v>
      </c>
      <c r="K53" t="str">
        <f>TEXT(Tabela1[[#This Row],[Data]],"aaaa-mm")</f>
        <v>2023-02</v>
      </c>
    </row>
    <row r="54" spans="1:11">
      <c r="A54" s="1">
        <v>44985</v>
      </c>
      <c r="B54" t="s">
        <v>68</v>
      </c>
      <c r="C54" t="s">
        <v>6</v>
      </c>
      <c r="D54" t="s">
        <v>62</v>
      </c>
      <c r="E54">
        <v>7</v>
      </c>
      <c r="F54">
        <v>469.9</v>
      </c>
      <c r="G54" t="s">
        <v>14</v>
      </c>
      <c r="H54" t="s">
        <v>67</v>
      </c>
      <c r="I54">
        <v>3289.3</v>
      </c>
      <c r="J54">
        <f>Tabela1[[#This Row],[Valor Total]]/Tabela1[[#This Row],[Quantidade]]</f>
        <v>469.90000000000003</v>
      </c>
      <c r="K54" t="str">
        <f>TEXT(Tabela1[[#This Row],[Data]],"aaaa-mm")</f>
        <v>2023-02</v>
      </c>
    </row>
    <row r="55" spans="1:11">
      <c r="A55" s="1">
        <v>44986</v>
      </c>
      <c r="B55" t="s">
        <v>68</v>
      </c>
      <c r="C55" t="s">
        <v>7</v>
      </c>
      <c r="D55" t="s">
        <v>62</v>
      </c>
      <c r="E55">
        <v>7</v>
      </c>
      <c r="F55">
        <v>480.18</v>
      </c>
      <c r="G55" t="s">
        <v>15</v>
      </c>
      <c r="H55" t="s">
        <v>63</v>
      </c>
      <c r="I55">
        <v>3361.26</v>
      </c>
      <c r="J55">
        <f>Tabela1[[#This Row],[Valor Total]]/Tabela1[[#This Row],[Quantidade]]</f>
        <v>480.18</v>
      </c>
      <c r="K55" t="str">
        <f>TEXT(Tabela1[[#This Row],[Data]],"aaaa-mm")</f>
        <v>2023-03</v>
      </c>
    </row>
    <row r="56" spans="1:11">
      <c r="A56" s="1">
        <v>44987</v>
      </c>
      <c r="B56" t="s">
        <v>74</v>
      </c>
      <c r="C56" t="s">
        <v>4</v>
      </c>
      <c r="D56" t="s">
        <v>73</v>
      </c>
      <c r="E56">
        <v>1</v>
      </c>
      <c r="F56">
        <v>435.09</v>
      </c>
      <c r="G56" t="s">
        <v>11</v>
      </c>
      <c r="H56" t="s">
        <v>67</v>
      </c>
      <c r="I56">
        <v>435.09</v>
      </c>
      <c r="J56">
        <f>Tabela1[[#This Row],[Valor Total]]/Tabela1[[#This Row],[Quantidade]]</f>
        <v>435.09</v>
      </c>
      <c r="K56" t="str">
        <f>TEXT(Tabela1[[#This Row],[Data]],"aaaa-mm")</f>
        <v>2023-03</v>
      </c>
    </row>
    <row r="57" spans="1:11">
      <c r="A57" s="1">
        <v>44988</v>
      </c>
      <c r="B57" t="s">
        <v>61</v>
      </c>
      <c r="C57" t="s">
        <v>4</v>
      </c>
      <c r="D57" t="s">
        <v>73</v>
      </c>
      <c r="E57">
        <v>8</v>
      </c>
      <c r="F57">
        <v>453.49</v>
      </c>
      <c r="G57" t="s">
        <v>13</v>
      </c>
      <c r="H57" t="s">
        <v>71</v>
      </c>
      <c r="I57">
        <v>3627.92</v>
      </c>
      <c r="J57">
        <f>Tabela1[[#This Row],[Valor Total]]/Tabela1[[#This Row],[Quantidade]]</f>
        <v>453.49</v>
      </c>
      <c r="K57" t="str">
        <f>TEXT(Tabela1[[#This Row],[Data]],"aaaa-mm")</f>
        <v>2023-03</v>
      </c>
    </row>
    <row r="58" spans="1:11">
      <c r="A58" s="1">
        <v>44989</v>
      </c>
      <c r="B58" t="s">
        <v>72</v>
      </c>
      <c r="C58" t="s">
        <v>4</v>
      </c>
      <c r="D58" t="s">
        <v>62</v>
      </c>
      <c r="E58">
        <v>1</v>
      </c>
      <c r="F58">
        <v>357.03</v>
      </c>
      <c r="G58" t="s">
        <v>14</v>
      </c>
      <c r="H58" t="s">
        <v>64</v>
      </c>
      <c r="I58">
        <v>357.03</v>
      </c>
      <c r="J58">
        <f>Tabela1[[#This Row],[Valor Total]]/Tabela1[[#This Row],[Quantidade]]</f>
        <v>357.03</v>
      </c>
      <c r="K58" t="str">
        <f>TEXT(Tabela1[[#This Row],[Data]],"aaaa-mm")</f>
        <v>2023-03</v>
      </c>
    </row>
    <row r="59" spans="1:11">
      <c r="A59" s="1">
        <v>44990</v>
      </c>
      <c r="B59" t="s">
        <v>74</v>
      </c>
      <c r="C59" t="s">
        <v>7</v>
      </c>
      <c r="D59" t="s">
        <v>66</v>
      </c>
      <c r="E59">
        <v>8</v>
      </c>
      <c r="F59">
        <v>310.44</v>
      </c>
      <c r="G59" t="s">
        <v>13</v>
      </c>
      <c r="H59" t="s">
        <v>67</v>
      </c>
      <c r="I59">
        <v>2483.52</v>
      </c>
      <c r="J59">
        <f>Tabela1[[#This Row],[Valor Total]]/Tabela1[[#This Row],[Quantidade]]</f>
        <v>310.44</v>
      </c>
      <c r="K59" t="str">
        <f>TEXT(Tabela1[[#This Row],[Data]],"aaaa-mm")</f>
        <v>2023-03</v>
      </c>
    </row>
    <row r="60" spans="1:11">
      <c r="A60" s="1">
        <v>44991</v>
      </c>
      <c r="B60" t="s">
        <v>69</v>
      </c>
      <c r="C60" t="s">
        <v>4</v>
      </c>
      <c r="D60" t="s">
        <v>73</v>
      </c>
      <c r="E60">
        <v>4</v>
      </c>
      <c r="F60">
        <v>266.10000000000002</v>
      </c>
      <c r="G60" t="s">
        <v>15</v>
      </c>
      <c r="H60" t="s">
        <v>67</v>
      </c>
      <c r="I60">
        <v>1064.4000000000001</v>
      </c>
      <c r="J60">
        <f>Tabela1[[#This Row],[Valor Total]]/Tabela1[[#This Row],[Quantidade]]</f>
        <v>266.10000000000002</v>
      </c>
      <c r="K60" t="str">
        <f>TEXT(Tabela1[[#This Row],[Data]],"aaaa-mm")</f>
        <v>2023-03</v>
      </c>
    </row>
    <row r="61" spans="1:11">
      <c r="A61" s="1">
        <v>44992</v>
      </c>
      <c r="B61" t="s">
        <v>61</v>
      </c>
      <c r="C61" t="s">
        <v>5</v>
      </c>
      <c r="D61" t="s">
        <v>73</v>
      </c>
      <c r="E61">
        <v>3</v>
      </c>
      <c r="F61">
        <v>186.67</v>
      </c>
      <c r="G61" t="s">
        <v>12</v>
      </c>
      <c r="H61" t="s">
        <v>71</v>
      </c>
      <c r="I61">
        <v>560.01</v>
      </c>
      <c r="J61">
        <f>Tabela1[[#This Row],[Valor Total]]/Tabela1[[#This Row],[Quantidade]]</f>
        <v>186.67</v>
      </c>
      <c r="K61" t="str">
        <f>TEXT(Tabela1[[#This Row],[Data]],"aaaa-mm")</f>
        <v>2023-03</v>
      </c>
    </row>
    <row r="62" spans="1:11">
      <c r="A62" s="1">
        <v>44993</v>
      </c>
      <c r="B62" t="s">
        <v>72</v>
      </c>
      <c r="C62" t="s">
        <v>4</v>
      </c>
      <c r="D62" t="s">
        <v>65</v>
      </c>
      <c r="E62">
        <v>8</v>
      </c>
      <c r="F62">
        <v>459.15</v>
      </c>
      <c r="G62" t="s">
        <v>13</v>
      </c>
      <c r="H62" t="s">
        <v>67</v>
      </c>
      <c r="I62">
        <v>3673.2</v>
      </c>
      <c r="J62">
        <f>Tabela1[[#This Row],[Valor Total]]/Tabela1[[#This Row],[Quantidade]]</f>
        <v>459.15</v>
      </c>
      <c r="K62" t="str">
        <f>TEXT(Tabela1[[#This Row],[Data]],"aaaa-mm")</f>
        <v>2023-03</v>
      </c>
    </row>
    <row r="63" spans="1:11">
      <c r="A63" s="1">
        <v>44994</v>
      </c>
      <c r="B63" t="s">
        <v>72</v>
      </c>
      <c r="C63" t="s">
        <v>6</v>
      </c>
      <c r="D63" t="s">
        <v>73</v>
      </c>
      <c r="E63">
        <v>3</v>
      </c>
      <c r="F63">
        <v>70</v>
      </c>
      <c r="G63" t="s">
        <v>15</v>
      </c>
      <c r="H63" t="s">
        <v>71</v>
      </c>
      <c r="I63">
        <v>210</v>
      </c>
      <c r="J63">
        <f>Tabela1[[#This Row],[Valor Total]]/Tabela1[[#This Row],[Quantidade]]</f>
        <v>70</v>
      </c>
      <c r="K63" t="str">
        <f>TEXT(Tabela1[[#This Row],[Data]],"aaaa-mm")</f>
        <v>2023-03</v>
      </c>
    </row>
    <row r="64" spans="1:11">
      <c r="A64" s="1">
        <v>44996</v>
      </c>
      <c r="B64" t="s">
        <v>68</v>
      </c>
      <c r="C64" t="s">
        <v>8</v>
      </c>
      <c r="D64" t="s">
        <v>66</v>
      </c>
      <c r="E64">
        <v>2</v>
      </c>
      <c r="F64">
        <v>301</v>
      </c>
      <c r="G64" t="s">
        <v>12</v>
      </c>
      <c r="H64" t="s">
        <v>71</v>
      </c>
      <c r="I64">
        <v>602</v>
      </c>
      <c r="J64">
        <f>Tabela1[[#This Row],[Valor Total]]/Tabela1[[#This Row],[Quantidade]]</f>
        <v>301</v>
      </c>
      <c r="K64" t="str">
        <f>TEXT(Tabela1[[#This Row],[Data]],"aaaa-mm")</f>
        <v>2023-03</v>
      </c>
    </row>
    <row r="65" spans="1:11">
      <c r="A65" s="1">
        <v>44997</v>
      </c>
      <c r="B65" t="s">
        <v>61</v>
      </c>
      <c r="C65" t="s">
        <v>8</v>
      </c>
      <c r="D65" t="s">
        <v>70</v>
      </c>
      <c r="E65">
        <v>2</v>
      </c>
      <c r="F65">
        <v>342.85</v>
      </c>
      <c r="G65" t="s">
        <v>12</v>
      </c>
      <c r="H65" t="s">
        <v>64</v>
      </c>
      <c r="I65">
        <v>685.7</v>
      </c>
      <c r="J65">
        <f>Tabela1[[#This Row],[Valor Total]]/Tabela1[[#This Row],[Quantidade]]</f>
        <v>342.85</v>
      </c>
      <c r="K65" t="str">
        <f>TEXT(Tabela1[[#This Row],[Data]],"aaaa-mm")</f>
        <v>2023-03</v>
      </c>
    </row>
    <row r="66" spans="1:11">
      <c r="A66" s="1">
        <v>44998</v>
      </c>
      <c r="B66" t="s">
        <v>72</v>
      </c>
      <c r="C66" t="s">
        <v>8</v>
      </c>
      <c r="D66" t="s">
        <v>62</v>
      </c>
      <c r="E66">
        <v>9</v>
      </c>
      <c r="F66">
        <v>349.32</v>
      </c>
      <c r="G66" t="s">
        <v>14</v>
      </c>
      <c r="H66" t="s">
        <v>63</v>
      </c>
      <c r="I66">
        <v>3143.88</v>
      </c>
      <c r="J66">
        <f>Tabela1[[#This Row],[Valor Total]]/Tabela1[[#This Row],[Quantidade]]</f>
        <v>349.32</v>
      </c>
      <c r="K66" t="str">
        <f>TEXT(Tabela1[[#This Row],[Data]],"aaaa-mm")</f>
        <v>2023-03</v>
      </c>
    </row>
    <row r="67" spans="1:11">
      <c r="A67" s="1">
        <v>44999</v>
      </c>
      <c r="B67" t="s">
        <v>74</v>
      </c>
      <c r="C67" t="s">
        <v>8</v>
      </c>
      <c r="D67" t="s">
        <v>65</v>
      </c>
      <c r="E67">
        <v>7</v>
      </c>
      <c r="F67">
        <v>197.17</v>
      </c>
      <c r="G67" t="s">
        <v>12</v>
      </c>
      <c r="H67" t="s">
        <v>64</v>
      </c>
      <c r="I67">
        <v>1380.19</v>
      </c>
      <c r="J67">
        <f>Tabela1[[#This Row],[Valor Total]]/Tabela1[[#This Row],[Quantidade]]</f>
        <v>197.17000000000002</v>
      </c>
      <c r="K67" t="str">
        <f>TEXT(Tabela1[[#This Row],[Data]],"aaaa-mm")</f>
        <v>2023-03</v>
      </c>
    </row>
    <row r="68" spans="1:11">
      <c r="A68" s="1">
        <v>45000</v>
      </c>
      <c r="B68" t="s">
        <v>61</v>
      </c>
      <c r="C68" t="s">
        <v>6</v>
      </c>
      <c r="D68" t="s">
        <v>70</v>
      </c>
      <c r="E68">
        <v>7</v>
      </c>
      <c r="F68">
        <v>101</v>
      </c>
      <c r="G68" t="s">
        <v>13</v>
      </c>
      <c r="H68" t="s">
        <v>71</v>
      </c>
      <c r="I68">
        <v>707</v>
      </c>
      <c r="J68">
        <f>Tabela1[[#This Row],[Valor Total]]/Tabela1[[#This Row],[Quantidade]]</f>
        <v>101</v>
      </c>
      <c r="K68" t="str">
        <f>TEXT(Tabela1[[#This Row],[Data]],"aaaa-mm")</f>
        <v>2023-03</v>
      </c>
    </row>
    <row r="69" spans="1:11">
      <c r="A69" s="1">
        <v>45001</v>
      </c>
      <c r="B69" t="s">
        <v>69</v>
      </c>
      <c r="C69" t="s">
        <v>6</v>
      </c>
      <c r="D69" t="s">
        <v>66</v>
      </c>
      <c r="E69">
        <v>3</v>
      </c>
      <c r="F69">
        <v>96.35</v>
      </c>
      <c r="G69" t="s">
        <v>15</v>
      </c>
      <c r="H69" t="s">
        <v>71</v>
      </c>
      <c r="I69">
        <v>289.05</v>
      </c>
      <c r="J69">
        <f>Tabela1[[#This Row],[Valor Total]]/Tabela1[[#This Row],[Quantidade]]</f>
        <v>96.350000000000009</v>
      </c>
      <c r="K69" t="str">
        <f>TEXT(Tabela1[[#This Row],[Data]],"aaaa-mm")</f>
        <v>2023-03</v>
      </c>
    </row>
    <row r="70" spans="1:11">
      <c r="A70" s="1">
        <v>45002</v>
      </c>
      <c r="B70" t="s">
        <v>69</v>
      </c>
      <c r="C70" t="s">
        <v>6</v>
      </c>
      <c r="D70" t="s">
        <v>66</v>
      </c>
      <c r="E70">
        <v>7</v>
      </c>
      <c r="F70">
        <v>166.58</v>
      </c>
      <c r="G70" t="s">
        <v>11</v>
      </c>
      <c r="H70" t="s">
        <v>63</v>
      </c>
      <c r="I70">
        <v>1166.06</v>
      </c>
      <c r="J70">
        <f>Tabela1[[#This Row],[Valor Total]]/Tabela1[[#This Row],[Quantidade]]</f>
        <v>166.57999999999998</v>
      </c>
      <c r="K70" t="str">
        <f>TEXT(Tabela1[[#This Row],[Data]],"aaaa-mm")</f>
        <v>2023-03</v>
      </c>
    </row>
    <row r="71" spans="1:11">
      <c r="A71" s="1">
        <v>45003</v>
      </c>
      <c r="B71" t="s">
        <v>72</v>
      </c>
      <c r="C71" t="s">
        <v>7</v>
      </c>
      <c r="D71" t="s">
        <v>70</v>
      </c>
      <c r="E71">
        <v>6</v>
      </c>
      <c r="F71">
        <v>351.77</v>
      </c>
      <c r="G71" t="s">
        <v>11</v>
      </c>
      <c r="H71" t="s">
        <v>64</v>
      </c>
      <c r="I71">
        <v>2110.62</v>
      </c>
      <c r="J71">
        <f>Tabela1[[#This Row],[Valor Total]]/Tabela1[[#This Row],[Quantidade]]</f>
        <v>351.77</v>
      </c>
      <c r="K71" t="str">
        <f>TEXT(Tabela1[[#This Row],[Data]],"aaaa-mm")</f>
        <v>2023-03</v>
      </c>
    </row>
    <row r="72" spans="1:11">
      <c r="A72" s="1">
        <v>45004</v>
      </c>
      <c r="B72" t="s">
        <v>72</v>
      </c>
      <c r="C72" t="s">
        <v>6</v>
      </c>
      <c r="D72" t="s">
        <v>66</v>
      </c>
      <c r="E72">
        <v>7</v>
      </c>
      <c r="F72">
        <v>122.7</v>
      </c>
      <c r="G72" t="s">
        <v>15</v>
      </c>
      <c r="H72" t="s">
        <v>63</v>
      </c>
      <c r="I72">
        <v>858.9</v>
      </c>
      <c r="J72">
        <f>Tabela1[[#This Row],[Valor Total]]/Tabela1[[#This Row],[Quantidade]]</f>
        <v>122.7</v>
      </c>
      <c r="K72" t="str">
        <f>TEXT(Tabela1[[#This Row],[Data]],"aaaa-mm")</f>
        <v>2023-03</v>
      </c>
    </row>
    <row r="73" spans="1:11">
      <c r="A73" s="1">
        <v>45005</v>
      </c>
      <c r="B73" t="s">
        <v>69</v>
      </c>
      <c r="C73" t="s">
        <v>5</v>
      </c>
      <c r="D73" t="s">
        <v>65</v>
      </c>
      <c r="E73">
        <v>5</v>
      </c>
      <c r="F73">
        <v>331.65</v>
      </c>
      <c r="G73" t="s">
        <v>13</v>
      </c>
      <c r="H73" t="s">
        <v>71</v>
      </c>
      <c r="I73">
        <v>1658.25</v>
      </c>
      <c r="J73">
        <f>Tabela1[[#This Row],[Valor Total]]/Tabela1[[#This Row],[Quantidade]]</f>
        <v>331.65</v>
      </c>
      <c r="K73" t="str">
        <f>TEXT(Tabela1[[#This Row],[Data]],"aaaa-mm")</f>
        <v>2023-03</v>
      </c>
    </row>
    <row r="74" spans="1:11">
      <c r="A74" s="1">
        <v>45007</v>
      </c>
      <c r="B74" t="s">
        <v>61</v>
      </c>
      <c r="C74" t="s">
        <v>8</v>
      </c>
      <c r="D74" t="s">
        <v>73</v>
      </c>
      <c r="E74">
        <v>5</v>
      </c>
      <c r="F74">
        <v>150.87</v>
      </c>
      <c r="G74" t="s">
        <v>14</v>
      </c>
      <c r="H74" t="s">
        <v>67</v>
      </c>
      <c r="I74">
        <v>754.35</v>
      </c>
      <c r="J74">
        <f>Tabela1[[#This Row],[Valor Total]]/Tabela1[[#This Row],[Quantidade]]</f>
        <v>150.87</v>
      </c>
      <c r="K74" t="str">
        <f>TEXT(Tabela1[[#This Row],[Data]],"aaaa-mm")</f>
        <v>2023-03</v>
      </c>
    </row>
    <row r="75" spans="1:11">
      <c r="A75" s="1">
        <v>45008</v>
      </c>
      <c r="B75" t="s">
        <v>68</v>
      </c>
      <c r="C75" t="s">
        <v>5</v>
      </c>
      <c r="D75" t="s">
        <v>62</v>
      </c>
      <c r="E75">
        <v>1</v>
      </c>
      <c r="F75">
        <v>147.56</v>
      </c>
      <c r="G75" t="s">
        <v>14</v>
      </c>
      <c r="H75" t="s">
        <v>63</v>
      </c>
      <c r="I75">
        <v>147.56</v>
      </c>
      <c r="J75">
        <f>Tabela1[[#This Row],[Valor Total]]/Tabela1[[#This Row],[Quantidade]]</f>
        <v>147.56</v>
      </c>
      <c r="K75" t="str">
        <f>TEXT(Tabela1[[#This Row],[Data]],"aaaa-mm")</f>
        <v>2023-03</v>
      </c>
    </row>
    <row r="76" spans="1:11">
      <c r="A76" s="1">
        <v>45009</v>
      </c>
      <c r="B76" t="s">
        <v>61</v>
      </c>
      <c r="C76" t="s">
        <v>6</v>
      </c>
      <c r="D76" t="s">
        <v>70</v>
      </c>
      <c r="E76">
        <v>2</v>
      </c>
      <c r="F76">
        <v>26.22</v>
      </c>
      <c r="G76" t="s">
        <v>11</v>
      </c>
      <c r="H76" t="s">
        <v>63</v>
      </c>
      <c r="I76">
        <v>52.44</v>
      </c>
      <c r="J76">
        <f>Tabela1[[#This Row],[Valor Total]]/Tabela1[[#This Row],[Quantidade]]</f>
        <v>26.22</v>
      </c>
      <c r="K76" t="str">
        <f>TEXT(Tabela1[[#This Row],[Data]],"aaaa-mm")</f>
        <v>2023-03</v>
      </c>
    </row>
    <row r="77" spans="1:11">
      <c r="A77" s="1">
        <v>45010</v>
      </c>
      <c r="B77" t="s">
        <v>68</v>
      </c>
      <c r="C77" t="s">
        <v>5</v>
      </c>
      <c r="D77" t="s">
        <v>70</v>
      </c>
      <c r="E77">
        <v>6</v>
      </c>
      <c r="F77">
        <v>276.89</v>
      </c>
      <c r="G77" t="s">
        <v>13</v>
      </c>
      <c r="H77" t="s">
        <v>67</v>
      </c>
      <c r="I77">
        <v>1661.34</v>
      </c>
      <c r="J77">
        <f>Tabela1[[#This Row],[Valor Total]]/Tabela1[[#This Row],[Quantidade]]</f>
        <v>276.89</v>
      </c>
      <c r="K77" t="str">
        <f>TEXT(Tabela1[[#This Row],[Data]],"aaaa-mm")</f>
        <v>2023-03</v>
      </c>
    </row>
    <row r="78" spans="1:11">
      <c r="A78" s="1">
        <v>45011</v>
      </c>
      <c r="B78" t="s">
        <v>74</v>
      </c>
      <c r="C78" t="s">
        <v>5</v>
      </c>
      <c r="D78" t="s">
        <v>70</v>
      </c>
      <c r="E78">
        <v>2</v>
      </c>
      <c r="F78">
        <v>260.61</v>
      </c>
      <c r="G78" t="s">
        <v>12</v>
      </c>
      <c r="H78" t="s">
        <v>67</v>
      </c>
      <c r="I78">
        <v>521.22</v>
      </c>
      <c r="J78">
        <f>Tabela1[[#This Row],[Valor Total]]/Tabela1[[#This Row],[Quantidade]]</f>
        <v>260.61</v>
      </c>
      <c r="K78" t="str">
        <f>TEXT(Tabela1[[#This Row],[Data]],"aaaa-mm")</f>
        <v>2023-03</v>
      </c>
    </row>
    <row r="79" spans="1:11">
      <c r="A79" s="1">
        <v>45012</v>
      </c>
      <c r="B79" t="s">
        <v>72</v>
      </c>
      <c r="C79" t="s">
        <v>4</v>
      </c>
      <c r="D79" t="s">
        <v>70</v>
      </c>
      <c r="E79">
        <v>1</v>
      </c>
      <c r="F79">
        <v>248.39</v>
      </c>
      <c r="G79" t="s">
        <v>12</v>
      </c>
      <c r="H79" t="s">
        <v>71</v>
      </c>
      <c r="I79">
        <v>248.39</v>
      </c>
      <c r="J79">
        <f>Tabela1[[#This Row],[Valor Total]]/Tabela1[[#This Row],[Quantidade]]</f>
        <v>248.39</v>
      </c>
      <c r="K79" t="str">
        <f>TEXT(Tabela1[[#This Row],[Data]],"aaaa-mm")</f>
        <v>2023-03</v>
      </c>
    </row>
    <row r="80" spans="1:11">
      <c r="A80" s="1">
        <v>45013</v>
      </c>
      <c r="B80" t="s">
        <v>69</v>
      </c>
      <c r="C80" t="s">
        <v>7</v>
      </c>
      <c r="D80" t="s">
        <v>65</v>
      </c>
      <c r="E80">
        <v>2</v>
      </c>
      <c r="F80">
        <v>298.54000000000002</v>
      </c>
      <c r="G80" t="s">
        <v>12</v>
      </c>
      <c r="H80" t="s">
        <v>71</v>
      </c>
      <c r="I80">
        <v>597.08000000000004</v>
      </c>
      <c r="J80">
        <f>Tabela1[[#This Row],[Valor Total]]/Tabela1[[#This Row],[Quantidade]]</f>
        <v>298.54000000000002</v>
      </c>
      <c r="K80" t="str">
        <f>TEXT(Tabela1[[#This Row],[Data]],"aaaa-mm")</f>
        <v>2023-03</v>
      </c>
    </row>
    <row r="81" spans="1:11">
      <c r="A81" s="1">
        <v>45014</v>
      </c>
      <c r="B81" t="s">
        <v>61</v>
      </c>
      <c r="C81" t="s">
        <v>4</v>
      </c>
      <c r="D81" t="s">
        <v>70</v>
      </c>
      <c r="E81">
        <v>3</v>
      </c>
      <c r="F81">
        <v>243.93</v>
      </c>
      <c r="G81" t="s">
        <v>15</v>
      </c>
      <c r="H81" t="s">
        <v>67</v>
      </c>
      <c r="I81">
        <v>731.79</v>
      </c>
      <c r="J81">
        <f>Tabela1[[#This Row],[Valor Total]]/Tabela1[[#This Row],[Quantidade]]</f>
        <v>243.92999999999998</v>
      </c>
      <c r="K81" t="str">
        <f>TEXT(Tabela1[[#This Row],[Data]],"aaaa-mm")</f>
        <v>2023-03</v>
      </c>
    </row>
    <row r="82" spans="1:11">
      <c r="A82" s="1">
        <v>45015</v>
      </c>
      <c r="B82" t="s">
        <v>68</v>
      </c>
      <c r="C82" t="s">
        <v>6</v>
      </c>
      <c r="D82" t="s">
        <v>73</v>
      </c>
      <c r="E82">
        <v>6</v>
      </c>
      <c r="F82">
        <v>440.8</v>
      </c>
      <c r="G82" t="s">
        <v>11</v>
      </c>
      <c r="H82" t="s">
        <v>64</v>
      </c>
      <c r="I82">
        <v>2644.8</v>
      </c>
      <c r="J82">
        <f>Tabela1[[#This Row],[Valor Total]]/Tabela1[[#This Row],[Quantidade]]</f>
        <v>440.8</v>
      </c>
      <c r="K82" t="str">
        <f>TEXT(Tabela1[[#This Row],[Data]],"aaaa-mm")</f>
        <v>2023-03</v>
      </c>
    </row>
    <row r="83" spans="1:11">
      <c r="A83" s="1">
        <v>45016</v>
      </c>
      <c r="B83" t="s">
        <v>74</v>
      </c>
      <c r="C83" t="s">
        <v>4</v>
      </c>
      <c r="D83" t="s">
        <v>70</v>
      </c>
      <c r="E83">
        <v>8</v>
      </c>
      <c r="F83">
        <v>42.54</v>
      </c>
      <c r="G83" t="s">
        <v>14</v>
      </c>
      <c r="H83" t="s">
        <v>67</v>
      </c>
      <c r="I83">
        <v>340.32</v>
      </c>
      <c r="J83">
        <f>Tabela1[[#This Row],[Valor Total]]/Tabela1[[#This Row],[Quantidade]]</f>
        <v>42.54</v>
      </c>
      <c r="K83" t="str">
        <f>TEXT(Tabela1[[#This Row],[Data]],"aaaa-mm")</f>
        <v>2023-03</v>
      </c>
    </row>
    <row r="84" spans="1:11">
      <c r="A84" s="1">
        <v>45017</v>
      </c>
      <c r="B84" t="s">
        <v>72</v>
      </c>
      <c r="C84" t="s">
        <v>6</v>
      </c>
      <c r="D84" t="s">
        <v>66</v>
      </c>
      <c r="E84">
        <v>2</v>
      </c>
      <c r="F84">
        <v>38.090000000000003</v>
      </c>
      <c r="G84" t="s">
        <v>14</v>
      </c>
      <c r="H84" t="s">
        <v>67</v>
      </c>
      <c r="I84">
        <v>76.180000000000007</v>
      </c>
      <c r="J84">
        <f>Tabela1[[#This Row],[Valor Total]]/Tabela1[[#This Row],[Quantidade]]</f>
        <v>38.090000000000003</v>
      </c>
      <c r="K84" t="str">
        <f>TEXT(Tabela1[[#This Row],[Data]],"aaaa-mm")</f>
        <v>2023-04</v>
      </c>
    </row>
    <row r="85" spans="1:11">
      <c r="A85" s="1">
        <v>45019</v>
      </c>
      <c r="B85" t="s">
        <v>68</v>
      </c>
      <c r="C85" t="s">
        <v>6</v>
      </c>
      <c r="D85" t="s">
        <v>62</v>
      </c>
      <c r="E85">
        <v>5</v>
      </c>
      <c r="F85">
        <v>343.96</v>
      </c>
      <c r="G85" t="s">
        <v>14</v>
      </c>
      <c r="H85" t="s">
        <v>63</v>
      </c>
      <c r="I85">
        <v>1719.8</v>
      </c>
      <c r="J85">
        <f>Tabela1[[#This Row],[Valor Total]]/Tabela1[[#This Row],[Quantidade]]</f>
        <v>343.96</v>
      </c>
      <c r="K85" t="str">
        <f>TEXT(Tabela1[[#This Row],[Data]],"aaaa-mm")</f>
        <v>2023-04</v>
      </c>
    </row>
    <row r="86" spans="1:11">
      <c r="A86" s="1">
        <v>45020</v>
      </c>
      <c r="B86" t="s">
        <v>61</v>
      </c>
      <c r="C86" t="s">
        <v>8</v>
      </c>
      <c r="D86" t="s">
        <v>65</v>
      </c>
      <c r="E86">
        <v>9</v>
      </c>
      <c r="F86">
        <v>308.37</v>
      </c>
      <c r="G86" t="s">
        <v>15</v>
      </c>
      <c r="H86" t="s">
        <v>63</v>
      </c>
      <c r="I86">
        <v>2775.33</v>
      </c>
      <c r="J86">
        <f>Tabela1[[#This Row],[Valor Total]]/Tabela1[[#This Row],[Quantidade]]</f>
        <v>308.37</v>
      </c>
      <c r="K86" t="str">
        <f>TEXT(Tabela1[[#This Row],[Data]],"aaaa-mm")</f>
        <v>2023-04</v>
      </c>
    </row>
    <row r="87" spans="1:11">
      <c r="A87" s="1">
        <v>45021</v>
      </c>
      <c r="B87" t="s">
        <v>68</v>
      </c>
      <c r="C87" t="s">
        <v>7</v>
      </c>
      <c r="D87" t="s">
        <v>70</v>
      </c>
      <c r="E87">
        <v>3</v>
      </c>
      <c r="F87">
        <v>331.1</v>
      </c>
      <c r="G87" t="s">
        <v>15</v>
      </c>
      <c r="H87" t="s">
        <v>64</v>
      </c>
      <c r="I87">
        <v>993.30000000000007</v>
      </c>
      <c r="J87">
        <f>Tabela1[[#This Row],[Valor Total]]/Tabela1[[#This Row],[Quantidade]]</f>
        <v>331.1</v>
      </c>
      <c r="K87" t="str">
        <f>TEXT(Tabela1[[#This Row],[Data]],"aaaa-mm")</f>
        <v>2023-04</v>
      </c>
    </row>
    <row r="88" spans="1:11">
      <c r="A88" s="1">
        <v>45022</v>
      </c>
      <c r="B88" t="s">
        <v>68</v>
      </c>
      <c r="C88" t="s">
        <v>7</v>
      </c>
      <c r="D88" t="s">
        <v>62</v>
      </c>
      <c r="E88">
        <v>8</v>
      </c>
      <c r="F88">
        <v>135.25</v>
      </c>
      <c r="G88" t="s">
        <v>11</v>
      </c>
      <c r="H88" t="s">
        <v>63</v>
      </c>
      <c r="I88">
        <v>1082</v>
      </c>
      <c r="J88">
        <f>Tabela1[[#This Row],[Valor Total]]/Tabela1[[#This Row],[Quantidade]]</f>
        <v>135.25</v>
      </c>
      <c r="K88" t="str">
        <f>TEXT(Tabela1[[#This Row],[Data]],"aaaa-mm")</f>
        <v>2023-04</v>
      </c>
    </row>
    <row r="89" spans="1:11">
      <c r="A89" s="1">
        <v>45023</v>
      </c>
      <c r="B89" t="s">
        <v>72</v>
      </c>
      <c r="C89" t="s">
        <v>8</v>
      </c>
      <c r="D89" t="s">
        <v>65</v>
      </c>
      <c r="E89">
        <v>8</v>
      </c>
      <c r="F89">
        <v>249.92</v>
      </c>
      <c r="G89" t="s">
        <v>15</v>
      </c>
      <c r="H89" t="s">
        <v>63</v>
      </c>
      <c r="I89">
        <v>1999.36</v>
      </c>
      <c r="J89">
        <f>Tabela1[[#This Row],[Valor Total]]/Tabela1[[#This Row],[Quantidade]]</f>
        <v>249.92</v>
      </c>
      <c r="K89" t="str">
        <f>TEXT(Tabela1[[#This Row],[Data]],"aaaa-mm")</f>
        <v>2023-04</v>
      </c>
    </row>
    <row r="90" spans="1:11">
      <c r="A90" s="1">
        <v>45024</v>
      </c>
      <c r="B90" t="s">
        <v>72</v>
      </c>
      <c r="C90" t="s">
        <v>4</v>
      </c>
      <c r="D90" t="s">
        <v>65</v>
      </c>
      <c r="E90">
        <v>4</v>
      </c>
      <c r="F90">
        <v>400.48</v>
      </c>
      <c r="G90" t="s">
        <v>13</v>
      </c>
      <c r="H90" t="s">
        <v>67</v>
      </c>
      <c r="I90">
        <v>1601.92</v>
      </c>
      <c r="J90">
        <f>Tabela1[[#This Row],[Valor Total]]/Tabela1[[#This Row],[Quantidade]]</f>
        <v>400.48</v>
      </c>
      <c r="K90" t="str">
        <f>TEXT(Tabela1[[#This Row],[Data]],"aaaa-mm")</f>
        <v>2023-04</v>
      </c>
    </row>
    <row r="91" spans="1:11">
      <c r="A91" s="1">
        <v>45025</v>
      </c>
      <c r="B91" t="s">
        <v>72</v>
      </c>
      <c r="C91" t="s">
        <v>8</v>
      </c>
      <c r="D91" t="s">
        <v>70</v>
      </c>
      <c r="E91">
        <v>5</v>
      </c>
      <c r="F91">
        <v>321.31</v>
      </c>
      <c r="G91" t="s">
        <v>13</v>
      </c>
      <c r="H91" t="s">
        <v>63</v>
      </c>
      <c r="I91">
        <v>1606.55</v>
      </c>
      <c r="J91">
        <f>Tabela1[[#This Row],[Valor Total]]/Tabela1[[#This Row],[Quantidade]]</f>
        <v>321.31</v>
      </c>
      <c r="K91" t="str">
        <f>TEXT(Tabela1[[#This Row],[Data]],"aaaa-mm")</f>
        <v>2023-04</v>
      </c>
    </row>
    <row r="92" spans="1:11">
      <c r="A92" s="1">
        <v>45026</v>
      </c>
      <c r="B92" t="s">
        <v>74</v>
      </c>
      <c r="C92" t="s">
        <v>6</v>
      </c>
      <c r="D92" t="s">
        <v>62</v>
      </c>
      <c r="E92">
        <v>8</v>
      </c>
      <c r="F92">
        <v>77.28</v>
      </c>
      <c r="G92" t="s">
        <v>14</v>
      </c>
      <c r="H92" t="s">
        <v>64</v>
      </c>
      <c r="I92">
        <v>618.24</v>
      </c>
      <c r="J92">
        <f>Tabela1[[#This Row],[Valor Total]]/Tabela1[[#This Row],[Quantidade]]</f>
        <v>77.28</v>
      </c>
      <c r="K92" t="str">
        <f>TEXT(Tabela1[[#This Row],[Data]],"aaaa-mm")</f>
        <v>2023-04</v>
      </c>
    </row>
    <row r="93" spans="1:11">
      <c r="A93" s="1">
        <v>45027</v>
      </c>
      <c r="B93" t="s">
        <v>72</v>
      </c>
      <c r="C93" t="s">
        <v>7</v>
      </c>
      <c r="D93" t="s">
        <v>73</v>
      </c>
      <c r="E93">
        <v>1</v>
      </c>
      <c r="F93">
        <v>82.57</v>
      </c>
      <c r="G93" t="s">
        <v>11</v>
      </c>
      <c r="H93" t="s">
        <v>71</v>
      </c>
      <c r="I93">
        <v>82.57</v>
      </c>
      <c r="J93">
        <f>Tabela1[[#This Row],[Valor Total]]/Tabela1[[#This Row],[Quantidade]]</f>
        <v>82.57</v>
      </c>
      <c r="K93" t="str">
        <f>TEXT(Tabela1[[#This Row],[Data]],"aaaa-mm")</f>
        <v>2023-04</v>
      </c>
    </row>
    <row r="94" spans="1:11">
      <c r="A94" s="1">
        <v>45028</v>
      </c>
      <c r="B94" t="s">
        <v>74</v>
      </c>
      <c r="C94" t="s">
        <v>4</v>
      </c>
      <c r="D94" t="s">
        <v>62</v>
      </c>
      <c r="E94">
        <v>3</v>
      </c>
      <c r="F94">
        <v>228.11</v>
      </c>
      <c r="G94" t="s">
        <v>11</v>
      </c>
      <c r="H94" t="s">
        <v>67</v>
      </c>
      <c r="I94">
        <v>684.33</v>
      </c>
      <c r="J94">
        <f>Tabela1[[#This Row],[Valor Total]]/Tabela1[[#This Row],[Quantidade]]</f>
        <v>228.11</v>
      </c>
      <c r="K94" t="str">
        <f>TEXT(Tabela1[[#This Row],[Data]],"aaaa-mm")</f>
        <v>2023-04</v>
      </c>
    </row>
    <row r="95" spans="1:11">
      <c r="A95" s="1">
        <v>45030</v>
      </c>
      <c r="B95" t="s">
        <v>61</v>
      </c>
      <c r="C95" t="s">
        <v>4</v>
      </c>
      <c r="D95" t="s">
        <v>66</v>
      </c>
      <c r="E95">
        <v>3</v>
      </c>
      <c r="F95">
        <v>133.28</v>
      </c>
      <c r="G95" t="s">
        <v>11</v>
      </c>
      <c r="H95" t="s">
        <v>63</v>
      </c>
      <c r="I95">
        <v>399.84</v>
      </c>
      <c r="J95">
        <f>Tabela1[[#This Row],[Valor Total]]/Tabela1[[#This Row],[Quantidade]]</f>
        <v>133.28</v>
      </c>
      <c r="K95" t="str">
        <f>TEXT(Tabela1[[#This Row],[Data]],"aaaa-mm")</f>
        <v>2023-04</v>
      </c>
    </row>
    <row r="96" spans="1:11">
      <c r="A96" s="1">
        <v>45031</v>
      </c>
      <c r="B96" t="s">
        <v>74</v>
      </c>
      <c r="C96" t="s">
        <v>7</v>
      </c>
      <c r="D96" t="s">
        <v>70</v>
      </c>
      <c r="E96">
        <v>2</v>
      </c>
      <c r="F96">
        <v>319.81</v>
      </c>
      <c r="G96" t="s">
        <v>13</v>
      </c>
      <c r="H96" t="s">
        <v>71</v>
      </c>
      <c r="I96">
        <v>639.62</v>
      </c>
      <c r="J96">
        <f>Tabela1[[#This Row],[Valor Total]]/Tabela1[[#This Row],[Quantidade]]</f>
        <v>319.81</v>
      </c>
      <c r="K96" t="str">
        <f>TEXT(Tabela1[[#This Row],[Data]],"aaaa-mm")</f>
        <v>2023-04</v>
      </c>
    </row>
    <row r="97" spans="1:11">
      <c r="A97" s="1">
        <v>45032</v>
      </c>
      <c r="B97" t="s">
        <v>72</v>
      </c>
      <c r="C97" t="s">
        <v>5</v>
      </c>
      <c r="D97" t="s">
        <v>62</v>
      </c>
      <c r="E97">
        <v>3</v>
      </c>
      <c r="F97">
        <v>115.24</v>
      </c>
      <c r="G97" t="s">
        <v>11</v>
      </c>
      <c r="H97" t="s">
        <v>63</v>
      </c>
      <c r="I97">
        <v>345.72</v>
      </c>
      <c r="J97">
        <f>Tabela1[[#This Row],[Valor Total]]/Tabela1[[#This Row],[Quantidade]]</f>
        <v>115.24000000000001</v>
      </c>
      <c r="K97" t="str">
        <f>TEXT(Tabela1[[#This Row],[Data]],"aaaa-mm")</f>
        <v>2023-04</v>
      </c>
    </row>
    <row r="98" spans="1:11">
      <c r="A98" s="1">
        <v>45033</v>
      </c>
      <c r="B98" t="s">
        <v>61</v>
      </c>
      <c r="C98" t="s">
        <v>6</v>
      </c>
      <c r="D98" t="s">
        <v>65</v>
      </c>
      <c r="E98">
        <v>3</v>
      </c>
      <c r="F98">
        <v>384.93</v>
      </c>
      <c r="G98" t="s">
        <v>15</v>
      </c>
      <c r="H98" t="s">
        <v>64</v>
      </c>
      <c r="I98">
        <v>1154.79</v>
      </c>
      <c r="J98">
        <f>Tabela1[[#This Row],[Valor Total]]/Tabela1[[#This Row],[Quantidade]]</f>
        <v>384.93</v>
      </c>
      <c r="K98" t="str">
        <f>TEXT(Tabela1[[#This Row],[Data]],"aaaa-mm")</f>
        <v>2023-04</v>
      </c>
    </row>
    <row r="99" spans="1:11">
      <c r="A99" s="1">
        <v>45034</v>
      </c>
      <c r="B99" t="s">
        <v>69</v>
      </c>
      <c r="C99" t="s">
        <v>6</v>
      </c>
      <c r="D99" t="s">
        <v>73</v>
      </c>
      <c r="E99">
        <v>8</v>
      </c>
      <c r="F99">
        <v>321.95</v>
      </c>
      <c r="G99" t="s">
        <v>12</v>
      </c>
      <c r="H99" t="s">
        <v>63</v>
      </c>
      <c r="I99">
        <v>2575.6</v>
      </c>
      <c r="J99">
        <f>Tabela1[[#This Row],[Valor Total]]/Tabela1[[#This Row],[Quantidade]]</f>
        <v>321.95</v>
      </c>
      <c r="K99" t="str">
        <f>TEXT(Tabela1[[#This Row],[Data]],"aaaa-mm")</f>
        <v>2023-04</v>
      </c>
    </row>
    <row r="100" spans="1:11">
      <c r="A100" s="1">
        <v>45035</v>
      </c>
      <c r="B100" t="s">
        <v>69</v>
      </c>
      <c r="C100" t="s">
        <v>6</v>
      </c>
      <c r="D100" t="s">
        <v>62</v>
      </c>
      <c r="E100">
        <v>5</v>
      </c>
      <c r="F100">
        <v>259.45</v>
      </c>
      <c r="G100" t="s">
        <v>11</v>
      </c>
      <c r="H100" t="s">
        <v>63</v>
      </c>
      <c r="I100">
        <v>1297.25</v>
      </c>
      <c r="J100">
        <f>Tabela1[[#This Row],[Valor Total]]/Tabela1[[#This Row],[Quantidade]]</f>
        <v>259.45</v>
      </c>
      <c r="K100" t="str">
        <f>TEXT(Tabela1[[#This Row],[Data]],"aaaa-mm")</f>
        <v>2023-04</v>
      </c>
    </row>
    <row r="101" spans="1:11">
      <c r="A101" s="1">
        <v>45036</v>
      </c>
      <c r="B101" t="s">
        <v>69</v>
      </c>
      <c r="C101" t="s">
        <v>4</v>
      </c>
      <c r="D101" t="s">
        <v>62</v>
      </c>
      <c r="E101">
        <v>1</v>
      </c>
      <c r="F101">
        <v>458.48</v>
      </c>
      <c r="G101" t="s">
        <v>15</v>
      </c>
      <c r="H101" t="s">
        <v>64</v>
      </c>
      <c r="I101">
        <v>458.48</v>
      </c>
      <c r="J101">
        <f>Tabela1[[#This Row],[Valor Total]]/Tabela1[[#This Row],[Quantidade]]</f>
        <v>458.48</v>
      </c>
      <c r="K101" t="str">
        <f>TEXT(Tabela1[[#This Row],[Data]],"aaaa-mm")</f>
        <v>2023-04</v>
      </c>
    </row>
    <row r="102" spans="1:11">
      <c r="A102" s="1">
        <v>45037</v>
      </c>
      <c r="B102" t="s">
        <v>69</v>
      </c>
      <c r="C102" t="s">
        <v>4</v>
      </c>
      <c r="D102" t="s">
        <v>73</v>
      </c>
      <c r="E102">
        <v>5</v>
      </c>
      <c r="F102">
        <v>465.8</v>
      </c>
      <c r="G102" t="s">
        <v>12</v>
      </c>
      <c r="H102" t="s">
        <v>71</v>
      </c>
      <c r="I102">
        <v>2329</v>
      </c>
      <c r="J102">
        <f>Tabela1[[#This Row],[Valor Total]]/Tabela1[[#This Row],[Quantidade]]</f>
        <v>465.8</v>
      </c>
      <c r="K102" t="str">
        <f>TEXT(Tabela1[[#This Row],[Data]],"aaaa-mm")</f>
        <v>2023-04</v>
      </c>
    </row>
    <row r="103" spans="1:11">
      <c r="A103" s="1">
        <v>45038</v>
      </c>
      <c r="B103" t="s">
        <v>68</v>
      </c>
      <c r="C103" t="s">
        <v>7</v>
      </c>
      <c r="D103" t="s">
        <v>65</v>
      </c>
      <c r="E103">
        <v>4</v>
      </c>
      <c r="F103">
        <v>387.11</v>
      </c>
      <c r="G103" t="s">
        <v>13</v>
      </c>
      <c r="H103" t="s">
        <v>71</v>
      </c>
      <c r="I103">
        <v>1548.44</v>
      </c>
      <c r="J103">
        <f>Tabela1[[#This Row],[Valor Total]]/Tabela1[[#This Row],[Quantidade]]</f>
        <v>387.11</v>
      </c>
      <c r="K103" t="str">
        <f>TEXT(Tabela1[[#This Row],[Data]],"aaaa-mm")</f>
        <v>2023-04</v>
      </c>
    </row>
    <row r="104" spans="1:11">
      <c r="A104" s="1">
        <v>45039</v>
      </c>
      <c r="B104" t="s">
        <v>68</v>
      </c>
      <c r="C104" t="s">
        <v>7</v>
      </c>
      <c r="D104" t="s">
        <v>62</v>
      </c>
      <c r="E104">
        <v>5</v>
      </c>
      <c r="F104">
        <v>476.64</v>
      </c>
      <c r="G104" t="s">
        <v>12</v>
      </c>
      <c r="H104" t="s">
        <v>64</v>
      </c>
      <c r="I104">
        <v>2383.1999999999998</v>
      </c>
      <c r="J104">
        <f>Tabela1[[#This Row],[Valor Total]]/Tabela1[[#This Row],[Quantidade]]</f>
        <v>476.64</v>
      </c>
      <c r="K104" t="str">
        <f>TEXT(Tabela1[[#This Row],[Data]],"aaaa-mm")</f>
        <v>2023-04</v>
      </c>
    </row>
    <row r="105" spans="1:11">
      <c r="A105" s="1">
        <v>45040</v>
      </c>
      <c r="B105" t="s">
        <v>69</v>
      </c>
      <c r="C105" t="s">
        <v>5</v>
      </c>
      <c r="D105" t="s">
        <v>73</v>
      </c>
      <c r="E105">
        <v>9</v>
      </c>
      <c r="F105">
        <v>400.18</v>
      </c>
      <c r="G105" t="s">
        <v>15</v>
      </c>
      <c r="H105" t="s">
        <v>67</v>
      </c>
      <c r="I105">
        <v>3601.62</v>
      </c>
      <c r="J105">
        <f>Tabela1[[#This Row],[Valor Total]]/Tabela1[[#This Row],[Quantidade]]</f>
        <v>400.18</v>
      </c>
      <c r="K105" t="str">
        <f>TEXT(Tabela1[[#This Row],[Data]],"aaaa-mm")</f>
        <v>2023-04</v>
      </c>
    </row>
    <row r="106" spans="1:11">
      <c r="A106" s="1">
        <v>45042</v>
      </c>
      <c r="B106" t="s">
        <v>69</v>
      </c>
      <c r="C106" t="s">
        <v>4</v>
      </c>
      <c r="D106" t="s">
        <v>66</v>
      </c>
      <c r="E106">
        <v>7</v>
      </c>
      <c r="F106">
        <v>393.64</v>
      </c>
      <c r="G106" t="s">
        <v>15</v>
      </c>
      <c r="H106" t="s">
        <v>63</v>
      </c>
      <c r="I106">
        <v>2755.48</v>
      </c>
      <c r="J106">
        <f>Tabela1[[#This Row],[Valor Total]]/Tabela1[[#This Row],[Quantidade]]</f>
        <v>393.64</v>
      </c>
      <c r="K106" t="str">
        <f>TEXT(Tabela1[[#This Row],[Data]],"aaaa-mm")</f>
        <v>2023-04</v>
      </c>
    </row>
    <row r="107" spans="1:11">
      <c r="A107" s="1">
        <v>45043</v>
      </c>
      <c r="B107" t="s">
        <v>72</v>
      </c>
      <c r="C107" t="s">
        <v>6</v>
      </c>
      <c r="D107" t="s">
        <v>70</v>
      </c>
      <c r="E107">
        <v>8</v>
      </c>
      <c r="F107">
        <v>466.68</v>
      </c>
      <c r="G107" t="s">
        <v>14</v>
      </c>
      <c r="H107" t="s">
        <v>67</v>
      </c>
      <c r="I107">
        <v>3733.44</v>
      </c>
      <c r="J107">
        <f>Tabela1[[#This Row],[Valor Total]]/Tabela1[[#This Row],[Quantidade]]</f>
        <v>466.68</v>
      </c>
      <c r="K107" t="str">
        <f>TEXT(Tabela1[[#This Row],[Data]],"aaaa-mm")</f>
        <v>2023-04</v>
      </c>
    </row>
    <row r="108" spans="1:11">
      <c r="A108" s="1">
        <v>45044</v>
      </c>
      <c r="B108" t="s">
        <v>72</v>
      </c>
      <c r="C108" t="s">
        <v>5</v>
      </c>
      <c r="D108" t="s">
        <v>66</v>
      </c>
      <c r="E108">
        <v>3</v>
      </c>
      <c r="F108">
        <v>390.23</v>
      </c>
      <c r="G108" t="s">
        <v>14</v>
      </c>
      <c r="H108" t="s">
        <v>64</v>
      </c>
      <c r="I108">
        <v>1170.69</v>
      </c>
      <c r="J108">
        <f>Tabela1[[#This Row],[Valor Total]]/Tabela1[[#This Row],[Quantidade]]</f>
        <v>390.23</v>
      </c>
      <c r="K108" t="str">
        <f>TEXT(Tabela1[[#This Row],[Data]],"aaaa-mm")</f>
        <v>2023-04</v>
      </c>
    </row>
    <row r="109" spans="1:11">
      <c r="A109" s="1">
        <v>45045</v>
      </c>
      <c r="B109" t="s">
        <v>61</v>
      </c>
      <c r="C109" t="s">
        <v>4</v>
      </c>
      <c r="D109" t="s">
        <v>62</v>
      </c>
      <c r="E109">
        <v>5</v>
      </c>
      <c r="F109">
        <v>241.4</v>
      </c>
      <c r="G109" t="s">
        <v>13</v>
      </c>
      <c r="H109" t="s">
        <v>64</v>
      </c>
      <c r="I109">
        <v>1207</v>
      </c>
      <c r="J109">
        <f>Tabela1[[#This Row],[Valor Total]]/Tabela1[[#This Row],[Quantidade]]</f>
        <v>241.4</v>
      </c>
      <c r="K109" t="str">
        <f>TEXT(Tabela1[[#This Row],[Data]],"aaaa-mm")</f>
        <v>2023-04</v>
      </c>
    </row>
    <row r="110" spans="1:11">
      <c r="A110" s="1">
        <v>45046</v>
      </c>
      <c r="B110" t="s">
        <v>68</v>
      </c>
      <c r="C110" t="s">
        <v>5</v>
      </c>
      <c r="D110" t="s">
        <v>62</v>
      </c>
      <c r="E110">
        <v>8</v>
      </c>
      <c r="F110">
        <v>66.319999999999993</v>
      </c>
      <c r="G110" t="s">
        <v>15</v>
      </c>
      <c r="H110" t="s">
        <v>64</v>
      </c>
      <c r="I110">
        <v>530.55999999999995</v>
      </c>
      <c r="J110">
        <f>Tabela1[[#This Row],[Valor Total]]/Tabela1[[#This Row],[Quantidade]]</f>
        <v>66.319999999999993</v>
      </c>
      <c r="K110" t="str">
        <f>TEXT(Tabela1[[#This Row],[Data]],"aaaa-mm")</f>
        <v>2023-04</v>
      </c>
    </row>
    <row r="111" spans="1:11">
      <c r="A111" s="1">
        <v>45047</v>
      </c>
      <c r="B111" t="s">
        <v>61</v>
      </c>
      <c r="C111" t="s">
        <v>7</v>
      </c>
      <c r="D111" t="s">
        <v>65</v>
      </c>
      <c r="E111">
        <v>6</v>
      </c>
      <c r="F111">
        <v>293.56</v>
      </c>
      <c r="G111" t="s">
        <v>12</v>
      </c>
      <c r="H111" t="s">
        <v>64</v>
      </c>
      <c r="I111">
        <v>1761.36</v>
      </c>
      <c r="J111">
        <f>Tabela1[[#This Row],[Valor Total]]/Tabela1[[#This Row],[Quantidade]]</f>
        <v>293.56</v>
      </c>
      <c r="K111" t="str">
        <f>TEXT(Tabela1[[#This Row],[Data]],"aaaa-mm")</f>
        <v>2023-05</v>
      </c>
    </row>
    <row r="112" spans="1:11">
      <c r="A112" s="1">
        <v>45048</v>
      </c>
      <c r="B112" t="s">
        <v>69</v>
      </c>
      <c r="C112" t="s">
        <v>6</v>
      </c>
      <c r="D112" t="s">
        <v>62</v>
      </c>
      <c r="E112">
        <v>1</v>
      </c>
      <c r="F112">
        <v>188.64</v>
      </c>
      <c r="G112" t="s">
        <v>11</v>
      </c>
      <c r="H112" t="s">
        <v>63</v>
      </c>
      <c r="I112">
        <v>188.64</v>
      </c>
      <c r="J112">
        <f>Tabela1[[#This Row],[Valor Total]]/Tabela1[[#This Row],[Quantidade]]</f>
        <v>188.64</v>
      </c>
      <c r="K112" t="str">
        <f>TEXT(Tabela1[[#This Row],[Data]],"aaaa-mm")</f>
        <v>2023-05</v>
      </c>
    </row>
    <row r="113" spans="1:11">
      <c r="A113" s="1">
        <v>45049</v>
      </c>
      <c r="B113" t="s">
        <v>69</v>
      </c>
      <c r="C113" t="s">
        <v>8</v>
      </c>
      <c r="D113" t="s">
        <v>73</v>
      </c>
      <c r="E113">
        <v>4</v>
      </c>
      <c r="F113">
        <v>24.99</v>
      </c>
      <c r="G113" t="s">
        <v>14</v>
      </c>
      <c r="H113" t="s">
        <v>71</v>
      </c>
      <c r="I113">
        <v>99.96</v>
      </c>
      <c r="J113">
        <f>Tabela1[[#This Row],[Valor Total]]/Tabela1[[#This Row],[Quantidade]]</f>
        <v>24.99</v>
      </c>
      <c r="K113" t="str">
        <f>TEXT(Tabela1[[#This Row],[Data]],"aaaa-mm")</f>
        <v>2023-05</v>
      </c>
    </row>
    <row r="114" spans="1:11">
      <c r="A114" s="1">
        <v>45050</v>
      </c>
      <c r="B114" t="s">
        <v>74</v>
      </c>
      <c r="C114" t="s">
        <v>7</v>
      </c>
      <c r="D114" t="s">
        <v>65</v>
      </c>
      <c r="E114">
        <v>8</v>
      </c>
      <c r="F114">
        <v>418.66</v>
      </c>
      <c r="G114" t="s">
        <v>15</v>
      </c>
      <c r="H114" t="s">
        <v>67</v>
      </c>
      <c r="I114">
        <v>3349.28</v>
      </c>
      <c r="J114">
        <f>Tabela1[[#This Row],[Valor Total]]/Tabela1[[#This Row],[Quantidade]]</f>
        <v>418.66</v>
      </c>
      <c r="K114" t="str">
        <f>TEXT(Tabela1[[#This Row],[Data]],"aaaa-mm")</f>
        <v>2023-05</v>
      </c>
    </row>
    <row r="115" spans="1:11">
      <c r="A115" s="1">
        <v>45051</v>
      </c>
      <c r="B115" t="s">
        <v>69</v>
      </c>
      <c r="C115" t="s">
        <v>6</v>
      </c>
      <c r="D115" t="s">
        <v>70</v>
      </c>
      <c r="E115">
        <v>6</v>
      </c>
      <c r="F115">
        <v>163.78</v>
      </c>
      <c r="G115" t="s">
        <v>15</v>
      </c>
      <c r="H115" t="s">
        <v>64</v>
      </c>
      <c r="I115">
        <v>982.68000000000006</v>
      </c>
      <c r="J115">
        <f>Tabela1[[#This Row],[Valor Total]]/Tabela1[[#This Row],[Quantidade]]</f>
        <v>163.78</v>
      </c>
      <c r="K115" t="str">
        <f>TEXT(Tabela1[[#This Row],[Data]],"aaaa-mm")</f>
        <v>2023-05</v>
      </c>
    </row>
    <row r="116" spans="1:11">
      <c r="A116" s="1">
        <v>45053</v>
      </c>
      <c r="B116" t="s">
        <v>61</v>
      </c>
      <c r="C116" t="s">
        <v>5</v>
      </c>
      <c r="D116" t="s">
        <v>66</v>
      </c>
      <c r="E116">
        <v>7</v>
      </c>
      <c r="F116">
        <v>40.25</v>
      </c>
      <c r="G116" t="s">
        <v>13</v>
      </c>
      <c r="H116" t="s">
        <v>64</v>
      </c>
      <c r="I116">
        <v>281.75</v>
      </c>
      <c r="J116">
        <f>Tabela1[[#This Row],[Valor Total]]/Tabela1[[#This Row],[Quantidade]]</f>
        <v>40.25</v>
      </c>
      <c r="K116" t="str">
        <f>TEXT(Tabela1[[#This Row],[Data]],"aaaa-mm")</f>
        <v>2023-05</v>
      </c>
    </row>
    <row r="117" spans="1:11">
      <c r="A117" s="1">
        <v>45054</v>
      </c>
      <c r="B117" t="s">
        <v>74</v>
      </c>
      <c r="C117" t="s">
        <v>7</v>
      </c>
      <c r="D117" t="s">
        <v>66</v>
      </c>
      <c r="E117">
        <v>7</v>
      </c>
      <c r="F117">
        <v>393.39</v>
      </c>
      <c r="G117" t="s">
        <v>11</v>
      </c>
      <c r="H117" t="s">
        <v>71</v>
      </c>
      <c r="I117">
        <v>2753.73</v>
      </c>
      <c r="J117">
        <f>Tabela1[[#This Row],[Valor Total]]/Tabela1[[#This Row],[Quantidade]]</f>
        <v>393.39</v>
      </c>
      <c r="K117" t="str">
        <f>TEXT(Tabela1[[#This Row],[Data]],"aaaa-mm")</f>
        <v>2023-05</v>
      </c>
    </row>
    <row r="118" spans="1:11">
      <c r="A118" s="1">
        <v>45055</v>
      </c>
      <c r="B118" t="s">
        <v>68</v>
      </c>
      <c r="C118" t="s">
        <v>4</v>
      </c>
      <c r="D118" t="s">
        <v>62</v>
      </c>
      <c r="E118">
        <v>5</v>
      </c>
      <c r="F118">
        <v>266.52</v>
      </c>
      <c r="G118" t="s">
        <v>15</v>
      </c>
      <c r="H118" t="s">
        <v>64</v>
      </c>
      <c r="I118">
        <v>1332.6</v>
      </c>
      <c r="J118">
        <f>Tabela1[[#This Row],[Valor Total]]/Tabela1[[#This Row],[Quantidade]]</f>
        <v>266.52</v>
      </c>
      <c r="K118" t="str">
        <f>TEXT(Tabela1[[#This Row],[Data]],"aaaa-mm")</f>
        <v>2023-05</v>
      </c>
    </row>
    <row r="119" spans="1:11">
      <c r="A119" s="1">
        <v>45056</v>
      </c>
      <c r="B119" t="s">
        <v>72</v>
      </c>
      <c r="C119" t="s">
        <v>6</v>
      </c>
      <c r="D119" t="s">
        <v>73</v>
      </c>
      <c r="E119">
        <v>9</v>
      </c>
      <c r="F119">
        <v>407.78</v>
      </c>
      <c r="G119" t="s">
        <v>14</v>
      </c>
      <c r="H119" t="s">
        <v>67</v>
      </c>
      <c r="I119">
        <v>3670.02</v>
      </c>
      <c r="J119">
        <f>Tabela1[[#This Row],[Valor Total]]/Tabela1[[#This Row],[Quantidade]]</f>
        <v>407.78</v>
      </c>
      <c r="K119" t="str">
        <f>TEXT(Tabela1[[#This Row],[Data]],"aaaa-mm")</f>
        <v>2023-05</v>
      </c>
    </row>
    <row r="120" spans="1:11">
      <c r="A120" s="1">
        <v>45057</v>
      </c>
      <c r="B120" t="s">
        <v>61</v>
      </c>
      <c r="C120" t="s">
        <v>6</v>
      </c>
      <c r="D120" t="s">
        <v>66</v>
      </c>
      <c r="E120">
        <v>8</v>
      </c>
      <c r="F120">
        <v>98.03</v>
      </c>
      <c r="G120" t="s">
        <v>13</v>
      </c>
      <c r="H120" t="s">
        <v>67</v>
      </c>
      <c r="I120">
        <v>784.24</v>
      </c>
      <c r="J120">
        <f>Tabela1[[#This Row],[Valor Total]]/Tabela1[[#This Row],[Quantidade]]</f>
        <v>98.03</v>
      </c>
      <c r="K120" t="str">
        <f>TEXT(Tabela1[[#This Row],[Data]],"aaaa-mm")</f>
        <v>2023-05</v>
      </c>
    </row>
    <row r="121" spans="1:11">
      <c r="A121" s="1">
        <v>45058</v>
      </c>
      <c r="B121" t="s">
        <v>74</v>
      </c>
      <c r="C121" t="s">
        <v>7</v>
      </c>
      <c r="D121" t="s">
        <v>65</v>
      </c>
      <c r="E121">
        <v>6</v>
      </c>
      <c r="F121">
        <v>154.94999999999999</v>
      </c>
      <c r="G121" t="s">
        <v>13</v>
      </c>
      <c r="H121" t="s">
        <v>64</v>
      </c>
      <c r="I121">
        <v>929.69999999999993</v>
      </c>
      <c r="J121">
        <f>Tabela1[[#This Row],[Valor Total]]/Tabela1[[#This Row],[Quantidade]]</f>
        <v>154.94999999999999</v>
      </c>
      <c r="K121" t="str">
        <f>TEXT(Tabela1[[#This Row],[Data]],"aaaa-mm")</f>
        <v>2023-05</v>
      </c>
    </row>
    <row r="122" spans="1:11">
      <c r="A122" s="1">
        <v>45059</v>
      </c>
      <c r="B122" t="s">
        <v>69</v>
      </c>
      <c r="C122" t="s">
        <v>5</v>
      </c>
      <c r="D122" t="s">
        <v>73</v>
      </c>
      <c r="E122">
        <v>9</v>
      </c>
      <c r="F122">
        <v>416.51</v>
      </c>
      <c r="G122" t="s">
        <v>15</v>
      </c>
      <c r="H122" t="s">
        <v>64</v>
      </c>
      <c r="I122">
        <v>3748.59</v>
      </c>
      <c r="J122">
        <f>Tabela1[[#This Row],[Valor Total]]/Tabela1[[#This Row],[Quantidade]]</f>
        <v>416.51</v>
      </c>
      <c r="K122" t="str">
        <f>TEXT(Tabela1[[#This Row],[Data]],"aaaa-mm")</f>
        <v>2023-05</v>
      </c>
    </row>
    <row r="123" spans="1:11">
      <c r="A123" s="1">
        <v>45060</v>
      </c>
      <c r="B123" t="s">
        <v>74</v>
      </c>
      <c r="C123" t="s">
        <v>7</v>
      </c>
      <c r="D123" t="s">
        <v>70</v>
      </c>
      <c r="E123">
        <v>4</v>
      </c>
      <c r="F123">
        <v>492.95</v>
      </c>
      <c r="G123" t="s">
        <v>13</v>
      </c>
      <c r="H123" t="s">
        <v>64</v>
      </c>
      <c r="I123">
        <v>1971.8</v>
      </c>
      <c r="J123">
        <f>Tabela1[[#This Row],[Valor Total]]/Tabela1[[#This Row],[Quantidade]]</f>
        <v>492.95</v>
      </c>
      <c r="K123" t="str">
        <f>TEXT(Tabela1[[#This Row],[Data]],"aaaa-mm")</f>
        <v>2023-05</v>
      </c>
    </row>
    <row r="124" spans="1:11">
      <c r="A124" s="1">
        <v>45061</v>
      </c>
      <c r="B124" t="s">
        <v>74</v>
      </c>
      <c r="C124" t="s">
        <v>4</v>
      </c>
      <c r="D124" t="s">
        <v>70</v>
      </c>
      <c r="E124">
        <v>4</v>
      </c>
      <c r="F124">
        <v>377.19</v>
      </c>
      <c r="G124" t="s">
        <v>12</v>
      </c>
      <c r="H124" t="s">
        <v>63</v>
      </c>
      <c r="I124">
        <v>1508.76</v>
      </c>
      <c r="J124">
        <f>Tabela1[[#This Row],[Valor Total]]/Tabela1[[#This Row],[Quantidade]]</f>
        <v>377.19</v>
      </c>
      <c r="K124" t="str">
        <f>TEXT(Tabela1[[#This Row],[Data]],"aaaa-mm")</f>
        <v>2023-05</v>
      </c>
    </row>
    <row r="125" spans="1:11">
      <c r="A125" s="1">
        <v>45062</v>
      </c>
      <c r="B125" t="s">
        <v>74</v>
      </c>
      <c r="C125" t="s">
        <v>6</v>
      </c>
      <c r="D125" t="s">
        <v>66</v>
      </c>
      <c r="E125">
        <v>5</v>
      </c>
      <c r="F125">
        <v>438.99</v>
      </c>
      <c r="G125" t="s">
        <v>15</v>
      </c>
      <c r="H125" t="s">
        <v>64</v>
      </c>
      <c r="I125">
        <v>2194.9499999999998</v>
      </c>
      <c r="J125">
        <f>Tabela1[[#This Row],[Valor Total]]/Tabela1[[#This Row],[Quantidade]]</f>
        <v>438.98999999999995</v>
      </c>
      <c r="K125" t="str">
        <f>TEXT(Tabela1[[#This Row],[Data]],"aaaa-mm")</f>
        <v>2023-05</v>
      </c>
    </row>
    <row r="126" spans="1:11">
      <c r="A126" s="1">
        <v>45064</v>
      </c>
      <c r="B126" t="s">
        <v>68</v>
      </c>
      <c r="C126" t="s">
        <v>8</v>
      </c>
      <c r="D126" t="s">
        <v>62</v>
      </c>
      <c r="E126">
        <v>6</v>
      </c>
      <c r="F126">
        <v>477.6</v>
      </c>
      <c r="G126" t="s">
        <v>12</v>
      </c>
      <c r="H126" t="s">
        <v>71</v>
      </c>
      <c r="I126">
        <v>2865.6</v>
      </c>
      <c r="J126">
        <f>Tabela1[[#This Row],[Valor Total]]/Tabela1[[#This Row],[Quantidade]]</f>
        <v>477.59999999999997</v>
      </c>
      <c r="K126" t="str">
        <f>TEXT(Tabela1[[#This Row],[Data]],"aaaa-mm")</f>
        <v>2023-05</v>
      </c>
    </row>
    <row r="127" spans="1:11">
      <c r="A127" s="1">
        <v>45065</v>
      </c>
      <c r="B127" t="s">
        <v>61</v>
      </c>
      <c r="C127" t="s">
        <v>5</v>
      </c>
      <c r="D127" t="s">
        <v>70</v>
      </c>
      <c r="E127">
        <v>3</v>
      </c>
      <c r="F127">
        <v>499.17</v>
      </c>
      <c r="G127" t="s">
        <v>15</v>
      </c>
      <c r="H127" t="s">
        <v>71</v>
      </c>
      <c r="I127">
        <v>1497.51</v>
      </c>
      <c r="J127">
        <f>Tabela1[[#This Row],[Valor Total]]/Tabela1[[#This Row],[Quantidade]]</f>
        <v>499.17</v>
      </c>
      <c r="K127" t="str">
        <f>TEXT(Tabela1[[#This Row],[Data]],"aaaa-mm")</f>
        <v>2023-05</v>
      </c>
    </row>
    <row r="128" spans="1:11">
      <c r="A128" s="1">
        <v>45066</v>
      </c>
      <c r="B128" t="s">
        <v>72</v>
      </c>
      <c r="C128" t="s">
        <v>4</v>
      </c>
      <c r="D128" t="s">
        <v>66</v>
      </c>
      <c r="E128">
        <v>2</v>
      </c>
      <c r="F128">
        <v>465.4</v>
      </c>
      <c r="G128" t="s">
        <v>14</v>
      </c>
      <c r="H128" t="s">
        <v>67</v>
      </c>
      <c r="I128">
        <v>930.8</v>
      </c>
      <c r="J128">
        <f>Tabela1[[#This Row],[Valor Total]]/Tabela1[[#This Row],[Quantidade]]</f>
        <v>465.4</v>
      </c>
      <c r="K128" t="str">
        <f>TEXT(Tabela1[[#This Row],[Data]],"aaaa-mm")</f>
        <v>2023-05</v>
      </c>
    </row>
    <row r="129" spans="1:11">
      <c r="A129" s="1">
        <v>45067</v>
      </c>
      <c r="B129" t="s">
        <v>74</v>
      </c>
      <c r="C129" t="s">
        <v>4</v>
      </c>
      <c r="D129" t="s">
        <v>66</v>
      </c>
      <c r="E129">
        <v>9</v>
      </c>
      <c r="F129">
        <v>416.65</v>
      </c>
      <c r="G129" t="s">
        <v>11</v>
      </c>
      <c r="H129" t="s">
        <v>64</v>
      </c>
      <c r="I129">
        <v>3749.85</v>
      </c>
      <c r="J129">
        <f>Tabela1[[#This Row],[Valor Total]]/Tabela1[[#This Row],[Quantidade]]</f>
        <v>416.65</v>
      </c>
      <c r="K129" t="str">
        <f>TEXT(Tabela1[[#This Row],[Data]],"aaaa-mm")</f>
        <v>2023-05</v>
      </c>
    </row>
    <row r="130" spans="1:11">
      <c r="A130" s="1">
        <v>45068</v>
      </c>
      <c r="B130" t="s">
        <v>69</v>
      </c>
      <c r="C130" t="s">
        <v>7</v>
      </c>
      <c r="D130" t="s">
        <v>70</v>
      </c>
      <c r="E130">
        <v>2</v>
      </c>
      <c r="F130">
        <v>303.24</v>
      </c>
      <c r="G130" t="s">
        <v>13</v>
      </c>
      <c r="H130" t="s">
        <v>64</v>
      </c>
      <c r="I130">
        <v>606.48</v>
      </c>
      <c r="J130">
        <f>Tabela1[[#This Row],[Valor Total]]/Tabela1[[#This Row],[Quantidade]]</f>
        <v>303.24</v>
      </c>
      <c r="K130" t="str">
        <f>TEXT(Tabela1[[#This Row],[Data]],"aaaa-mm")</f>
        <v>2023-05</v>
      </c>
    </row>
    <row r="131" spans="1:11">
      <c r="A131" s="1">
        <v>45069</v>
      </c>
      <c r="B131" t="s">
        <v>72</v>
      </c>
      <c r="C131" t="s">
        <v>5</v>
      </c>
      <c r="D131" t="s">
        <v>66</v>
      </c>
      <c r="E131">
        <v>9</v>
      </c>
      <c r="F131">
        <v>250.81</v>
      </c>
      <c r="G131" t="s">
        <v>13</v>
      </c>
      <c r="H131" t="s">
        <v>71</v>
      </c>
      <c r="I131">
        <v>2257.29</v>
      </c>
      <c r="J131">
        <f>Tabela1[[#This Row],[Valor Total]]/Tabela1[[#This Row],[Quantidade]]</f>
        <v>250.81</v>
      </c>
      <c r="K131" t="str">
        <f>TEXT(Tabela1[[#This Row],[Data]],"aaaa-mm")</f>
        <v>2023-05</v>
      </c>
    </row>
    <row r="132" spans="1:11">
      <c r="A132" s="1">
        <v>45070</v>
      </c>
      <c r="B132" t="s">
        <v>74</v>
      </c>
      <c r="C132" t="s">
        <v>4</v>
      </c>
      <c r="D132" t="s">
        <v>66</v>
      </c>
      <c r="E132">
        <v>7</v>
      </c>
      <c r="F132">
        <v>53.3</v>
      </c>
      <c r="G132" t="s">
        <v>14</v>
      </c>
      <c r="H132" t="s">
        <v>64</v>
      </c>
      <c r="I132">
        <v>373.1</v>
      </c>
      <c r="J132">
        <f>Tabela1[[#This Row],[Valor Total]]/Tabela1[[#This Row],[Quantidade]]</f>
        <v>53.300000000000004</v>
      </c>
      <c r="K132" t="str">
        <f>TEXT(Tabela1[[#This Row],[Data]],"aaaa-mm")</f>
        <v>2023-05</v>
      </c>
    </row>
    <row r="133" spans="1:11">
      <c r="A133" s="1">
        <v>45071</v>
      </c>
      <c r="B133" t="s">
        <v>69</v>
      </c>
      <c r="C133" t="s">
        <v>6</v>
      </c>
      <c r="D133" t="s">
        <v>62</v>
      </c>
      <c r="E133">
        <v>8</v>
      </c>
      <c r="F133">
        <v>270.18</v>
      </c>
      <c r="G133" t="s">
        <v>15</v>
      </c>
      <c r="H133" t="s">
        <v>71</v>
      </c>
      <c r="I133">
        <v>2161.44</v>
      </c>
      <c r="J133">
        <f>Tabela1[[#This Row],[Valor Total]]/Tabela1[[#This Row],[Quantidade]]</f>
        <v>270.18</v>
      </c>
      <c r="K133" t="str">
        <f>TEXT(Tabela1[[#This Row],[Data]],"aaaa-mm")</f>
        <v>2023-05</v>
      </c>
    </row>
    <row r="134" spans="1:11">
      <c r="A134" s="1">
        <v>45072</v>
      </c>
      <c r="B134" t="s">
        <v>68</v>
      </c>
      <c r="C134" t="s">
        <v>6</v>
      </c>
      <c r="D134" t="s">
        <v>66</v>
      </c>
      <c r="E134">
        <v>9</v>
      </c>
      <c r="F134">
        <v>437.06</v>
      </c>
      <c r="G134" t="s">
        <v>15</v>
      </c>
      <c r="H134" t="s">
        <v>64</v>
      </c>
      <c r="I134">
        <v>3933.54</v>
      </c>
      <c r="J134">
        <f>Tabela1[[#This Row],[Valor Total]]/Tabela1[[#This Row],[Quantidade]]</f>
        <v>437.06</v>
      </c>
      <c r="K134" t="str">
        <f>TEXT(Tabela1[[#This Row],[Data]],"aaaa-mm")</f>
        <v>2023-05</v>
      </c>
    </row>
    <row r="135" spans="1:11">
      <c r="A135" s="1">
        <v>45073</v>
      </c>
      <c r="B135" t="s">
        <v>61</v>
      </c>
      <c r="C135" t="s">
        <v>6</v>
      </c>
      <c r="D135" t="s">
        <v>62</v>
      </c>
      <c r="E135">
        <v>2</v>
      </c>
      <c r="F135">
        <v>431.33</v>
      </c>
      <c r="G135" t="s">
        <v>12</v>
      </c>
      <c r="H135" t="s">
        <v>71</v>
      </c>
      <c r="I135">
        <v>862.66</v>
      </c>
      <c r="J135">
        <f>Tabela1[[#This Row],[Valor Total]]/Tabela1[[#This Row],[Quantidade]]</f>
        <v>431.33</v>
      </c>
      <c r="K135" t="str">
        <f>TEXT(Tabela1[[#This Row],[Data]],"aaaa-mm")</f>
        <v>2023-05</v>
      </c>
    </row>
    <row r="136" spans="1:11">
      <c r="A136" s="1">
        <v>45074</v>
      </c>
      <c r="B136" t="s">
        <v>69</v>
      </c>
      <c r="C136" t="s">
        <v>7</v>
      </c>
      <c r="D136" t="s">
        <v>62</v>
      </c>
      <c r="E136">
        <v>1</v>
      </c>
      <c r="F136">
        <v>48.75</v>
      </c>
      <c r="G136" t="s">
        <v>12</v>
      </c>
      <c r="H136" t="s">
        <v>71</v>
      </c>
      <c r="I136">
        <v>48.75</v>
      </c>
      <c r="J136">
        <f>Tabela1[[#This Row],[Valor Total]]/Tabela1[[#This Row],[Quantidade]]</f>
        <v>48.75</v>
      </c>
      <c r="K136" t="str">
        <f>TEXT(Tabela1[[#This Row],[Data]],"aaaa-mm")</f>
        <v>2023-05</v>
      </c>
    </row>
    <row r="137" spans="1:11">
      <c r="A137" s="1">
        <v>45076</v>
      </c>
      <c r="B137" t="s">
        <v>69</v>
      </c>
      <c r="C137" t="s">
        <v>6</v>
      </c>
      <c r="D137" t="s">
        <v>66</v>
      </c>
      <c r="E137">
        <v>4</v>
      </c>
      <c r="F137">
        <v>462.82</v>
      </c>
      <c r="G137" t="s">
        <v>12</v>
      </c>
      <c r="H137" t="s">
        <v>63</v>
      </c>
      <c r="I137">
        <v>1851.28</v>
      </c>
      <c r="J137">
        <f>Tabela1[[#This Row],[Valor Total]]/Tabela1[[#This Row],[Quantidade]]</f>
        <v>462.82</v>
      </c>
      <c r="K137" t="str">
        <f>TEXT(Tabela1[[#This Row],[Data]],"aaaa-mm")</f>
        <v>2023-05</v>
      </c>
    </row>
    <row r="138" spans="1:11">
      <c r="A138" s="1">
        <v>45077</v>
      </c>
      <c r="B138" t="s">
        <v>69</v>
      </c>
      <c r="C138" t="s">
        <v>8</v>
      </c>
      <c r="D138" t="s">
        <v>65</v>
      </c>
      <c r="E138">
        <v>4</v>
      </c>
      <c r="F138">
        <v>499.52</v>
      </c>
      <c r="G138" t="s">
        <v>11</v>
      </c>
      <c r="H138" t="s">
        <v>64</v>
      </c>
      <c r="I138">
        <v>1998.08</v>
      </c>
      <c r="J138">
        <f>Tabela1[[#This Row],[Valor Total]]/Tabela1[[#This Row],[Quantidade]]</f>
        <v>499.52</v>
      </c>
      <c r="K138" t="str">
        <f>TEXT(Tabela1[[#This Row],[Data]],"aaaa-mm")</f>
        <v>2023-05</v>
      </c>
    </row>
    <row r="139" spans="1:11">
      <c r="A139" s="1">
        <v>45078</v>
      </c>
      <c r="B139" t="s">
        <v>72</v>
      </c>
      <c r="C139" t="s">
        <v>5</v>
      </c>
      <c r="D139" t="s">
        <v>73</v>
      </c>
      <c r="E139">
        <v>5</v>
      </c>
      <c r="F139">
        <v>293.61</v>
      </c>
      <c r="G139" t="s">
        <v>15</v>
      </c>
      <c r="H139" t="s">
        <v>71</v>
      </c>
      <c r="I139">
        <v>1468.05</v>
      </c>
      <c r="J139">
        <f>Tabela1[[#This Row],[Valor Total]]/Tabela1[[#This Row],[Quantidade]]</f>
        <v>293.61</v>
      </c>
      <c r="K139" t="str">
        <f>TEXT(Tabela1[[#This Row],[Data]],"aaaa-mm")</f>
        <v>2023-06</v>
      </c>
    </row>
    <row r="140" spans="1:11">
      <c r="A140" s="1">
        <v>45079</v>
      </c>
      <c r="B140" t="s">
        <v>61</v>
      </c>
      <c r="C140" t="s">
        <v>7</v>
      </c>
      <c r="D140" t="s">
        <v>66</v>
      </c>
      <c r="E140">
        <v>6</v>
      </c>
      <c r="F140">
        <v>236.04</v>
      </c>
      <c r="G140" t="s">
        <v>14</v>
      </c>
      <c r="H140" t="s">
        <v>67</v>
      </c>
      <c r="I140">
        <v>1416.24</v>
      </c>
      <c r="J140">
        <f>Tabela1[[#This Row],[Valor Total]]/Tabela1[[#This Row],[Quantidade]]</f>
        <v>236.04</v>
      </c>
      <c r="K140" t="str">
        <f>TEXT(Tabela1[[#This Row],[Data]],"aaaa-mm")</f>
        <v>2023-06</v>
      </c>
    </row>
    <row r="141" spans="1:11">
      <c r="A141" s="1">
        <v>45080</v>
      </c>
      <c r="B141" t="s">
        <v>72</v>
      </c>
      <c r="C141" t="s">
        <v>8</v>
      </c>
      <c r="D141" t="s">
        <v>73</v>
      </c>
      <c r="E141">
        <v>5</v>
      </c>
      <c r="F141">
        <v>72.41</v>
      </c>
      <c r="G141" t="s">
        <v>12</v>
      </c>
      <c r="H141" t="s">
        <v>64</v>
      </c>
      <c r="I141">
        <v>362.05</v>
      </c>
      <c r="J141">
        <f>Tabela1[[#This Row],[Valor Total]]/Tabela1[[#This Row],[Quantidade]]</f>
        <v>72.41</v>
      </c>
      <c r="K141" t="str">
        <f>TEXT(Tabela1[[#This Row],[Data]],"aaaa-mm")</f>
        <v>2023-06</v>
      </c>
    </row>
    <row r="142" spans="1:11">
      <c r="A142" s="1">
        <v>45081</v>
      </c>
      <c r="B142" t="s">
        <v>69</v>
      </c>
      <c r="C142" t="s">
        <v>4</v>
      </c>
      <c r="D142" t="s">
        <v>73</v>
      </c>
      <c r="E142">
        <v>9</v>
      </c>
      <c r="F142">
        <v>279.49</v>
      </c>
      <c r="G142" t="s">
        <v>12</v>
      </c>
      <c r="H142" t="s">
        <v>67</v>
      </c>
      <c r="I142">
        <v>2515.41</v>
      </c>
      <c r="J142">
        <f>Tabela1[[#This Row],[Valor Total]]/Tabela1[[#This Row],[Quantidade]]</f>
        <v>279.49</v>
      </c>
      <c r="K142" t="str">
        <f>TEXT(Tabela1[[#This Row],[Data]],"aaaa-mm")</f>
        <v>2023-06</v>
      </c>
    </row>
    <row r="143" spans="1:11">
      <c r="A143" s="1">
        <v>45082</v>
      </c>
      <c r="B143" t="s">
        <v>72</v>
      </c>
      <c r="C143" t="s">
        <v>4</v>
      </c>
      <c r="D143" t="s">
        <v>65</v>
      </c>
      <c r="E143">
        <v>9</v>
      </c>
      <c r="F143">
        <v>108.28</v>
      </c>
      <c r="G143" t="s">
        <v>14</v>
      </c>
      <c r="H143" t="s">
        <v>71</v>
      </c>
      <c r="I143">
        <v>974.52</v>
      </c>
      <c r="J143">
        <f>Tabela1[[#This Row],[Valor Total]]/Tabela1[[#This Row],[Quantidade]]</f>
        <v>108.28</v>
      </c>
      <c r="K143" t="str">
        <f>TEXT(Tabela1[[#This Row],[Data]],"aaaa-mm")</f>
        <v>2023-06</v>
      </c>
    </row>
    <row r="144" spans="1:11">
      <c r="A144" s="1">
        <v>45083</v>
      </c>
      <c r="B144" t="s">
        <v>61</v>
      </c>
      <c r="C144" t="s">
        <v>5</v>
      </c>
      <c r="D144" t="s">
        <v>62</v>
      </c>
      <c r="E144">
        <v>1</v>
      </c>
      <c r="F144">
        <v>417.56</v>
      </c>
      <c r="G144" t="s">
        <v>11</v>
      </c>
      <c r="H144" t="s">
        <v>63</v>
      </c>
      <c r="I144">
        <v>417.56</v>
      </c>
      <c r="J144">
        <f>Tabela1[[#This Row],[Valor Total]]/Tabela1[[#This Row],[Quantidade]]</f>
        <v>417.56</v>
      </c>
      <c r="K144" t="str">
        <f>TEXT(Tabela1[[#This Row],[Data]],"aaaa-mm")</f>
        <v>2023-06</v>
      </c>
    </row>
    <row r="145" spans="1:11">
      <c r="A145" s="1">
        <v>45084</v>
      </c>
      <c r="B145" t="s">
        <v>68</v>
      </c>
      <c r="C145" t="s">
        <v>7</v>
      </c>
      <c r="D145" t="s">
        <v>66</v>
      </c>
      <c r="E145">
        <v>6</v>
      </c>
      <c r="F145">
        <v>34.81</v>
      </c>
      <c r="G145" t="s">
        <v>11</v>
      </c>
      <c r="H145" t="s">
        <v>63</v>
      </c>
      <c r="I145">
        <v>208.86</v>
      </c>
      <c r="J145">
        <f>Tabela1[[#This Row],[Valor Total]]/Tabela1[[#This Row],[Quantidade]]</f>
        <v>34.81</v>
      </c>
      <c r="K145" t="str">
        <f>TEXT(Tabela1[[#This Row],[Data]],"aaaa-mm")</f>
        <v>2023-06</v>
      </c>
    </row>
    <row r="146" spans="1:11">
      <c r="A146" s="1">
        <v>45085</v>
      </c>
      <c r="B146" t="s">
        <v>72</v>
      </c>
      <c r="C146" t="s">
        <v>5</v>
      </c>
      <c r="D146" t="s">
        <v>66</v>
      </c>
      <c r="E146">
        <v>2</v>
      </c>
      <c r="F146">
        <v>351.41</v>
      </c>
      <c r="G146" t="s">
        <v>13</v>
      </c>
      <c r="H146" t="s">
        <v>64</v>
      </c>
      <c r="I146">
        <v>702.82</v>
      </c>
      <c r="J146">
        <f>Tabela1[[#This Row],[Valor Total]]/Tabela1[[#This Row],[Quantidade]]</f>
        <v>351.41</v>
      </c>
      <c r="K146" t="str">
        <f>TEXT(Tabela1[[#This Row],[Data]],"aaaa-mm")</f>
        <v>2023-06</v>
      </c>
    </row>
    <row r="147" spans="1:11">
      <c r="A147" s="1">
        <v>45087</v>
      </c>
      <c r="B147" t="s">
        <v>69</v>
      </c>
      <c r="C147" t="s">
        <v>7</v>
      </c>
      <c r="D147" t="s">
        <v>65</v>
      </c>
      <c r="E147">
        <v>5</v>
      </c>
      <c r="F147">
        <v>273.64</v>
      </c>
      <c r="G147" t="s">
        <v>11</v>
      </c>
      <c r="H147" t="s">
        <v>71</v>
      </c>
      <c r="I147">
        <v>1368.2</v>
      </c>
      <c r="J147">
        <f>Tabela1[[#This Row],[Valor Total]]/Tabela1[[#This Row],[Quantidade]]</f>
        <v>273.64</v>
      </c>
      <c r="K147" t="str">
        <f>TEXT(Tabela1[[#This Row],[Data]],"aaaa-mm")</f>
        <v>2023-06</v>
      </c>
    </row>
    <row r="148" spans="1:11">
      <c r="A148" s="1">
        <v>45088</v>
      </c>
      <c r="B148" t="s">
        <v>69</v>
      </c>
      <c r="C148" t="s">
        <v>8</v>
      </c>
      <c r="D148" t="s">
        <v>73</v>
      </c>
      <c r="E148">
        <v>6</v>
      </c>
      <c r="F148">
        <v>202.69</v>
      </c>
      <c r="G148" t="s">
        <v>15</v>
      </c>
      <c r="H148" t="s">
        <v>71</v>
      </c>
      <c r="I148">
        <v>1216.1400000000001</v>
      </c>
      <c r="J148">
        <f>Tabela1[[#This Row],[Valor Total]]/Tabela1[[#This Row],[Quantidade]]</f>
        <v>202.69000000000003</v>
      </c>
      <c r="K148" t="str">
        <f>TEXT(Tabela1[[#This Row],[Data]],"aaaa-mm")</f>
        <v>2023-06</v>
      </c>
    </row>
    <row r="149" spans="1:11">
      <c r="A149" s="1">
        <v>45089</v>
      </c>
      <c r="B149" t="s">
        <v>74</v>
      </c>
      <c r="C149" t="s">
        <v>6</v>
      </c>
      <c r="D149" t="s">
        <v>62</v>
      </c>
      <c r="E149">
        <v>4</v>
      </c>
      <c r="F149">
        <v>97.2</v>
      </c>
      <c r="G149" t="s">
        <v>13</v>
      </c>
      <c r="H149" t="s">
        <v>67</v>
      </c>
      <c r="I149">
        <v>388.8</v>
      </c>
      <c r="J149">
        <f>Tabela1[[#This Row],[Valor Total]]/Tabela1[[#This Row],[Quantidade]]</f>
        <v>97.2</v>
      </c>
      <c r="K149" t="str">
        <f>TEXT(Tabela1[[#This Row],[Data]],"aaaa-mm")</f>
        <v>2023-06</v>
      </c>
    </row>
    <row r="150" spans="1:11">
      <c r="A150" s="1">
        <v>45090</v>
      </c>
      <c r="B150" t="s">
        <v>69</v>
      </c>
      <c r="C150" t="s">
        <v>6</v>
      </c>
      <c r="D150" t="s">
        <v>73</v>
      </c>
      <c r="E150">
        <v>1</v>
      </c>
      <c r="F150">
        <v>336.64</v>
      </c>
      <c r="G150" t="s">
        <v>14</v>
      </c>
      <c r="H150" t="s">
        <v>64</v>
      </c>
      <c r="I150">
        <v>336.64</v>
      </c>
      <c r="J150">
        <f>Tabela1[[#This Row],[Valor Total]]/Tabela1[[#This Row],[Quantidade]]</f>
        <v>336.64</v>
      </c>
      <c r="K150" t="str">
        <f>TEXT(Tabela1[[#This Row],[Data]],"aaaa-mm")</f>
        <v>2023-06</v>
      </c>
    </row>
    <row r="151" spans="1:11">
      <c r="A151" s="1">
        <v>45091</v>
      </c>
      <c r="B151" t="s">
        <v>61</v>
      </c>
      <c r="C151" t="s">
        <v>4</v>
      </c>
      <c r="D151" t="s">
        <v>70</v>
      </c>
      <c r="E151">
        <v>8</v>
      </c>
      <c r="F151">
        <v>174.48</v>
      </c>
      <c r="G151" t="s">
        <v>15</v>
      </c>
      <c r="H151" t="s">
        <v>67</v>
      </c>
      <c r="I151">
        <v>1395.84</v>
      </c>
      <c r="J151">
        <f>Tabela1[[#This Row],[Valor Total]]/Tabela1[[#This Row],[Quantidade]]</f>
        <v>174.48</v>
      </c>
      <c r="K151" t="str">
        <f>TEXT(Tabela1[[#This Row],[Data]],"aaaa-mm")</f>
        <v>2023-06</v>
      </c>
    </row>
    <row r="152" spans="1:11">
      <c r="A152" s="1">
        <v>45092</v>
      </c>
      <c r="B152" t="s">
        <v>72</v>
      </c>
      <c r="C152" t="s">
        <v>7</v>
      </c>
      <c r="D152" t="s">
        <v>70</v>
      </c>
      <c r="E152">
        <v>1</v>
      </c>
      <c r="F152">
        <v>271.41000000000003</v>
      </c>
      <c r="G152" t="s">
        <v>12</v>
      </c>
      <c r="H152" t="s">
        <v>63</v>
      </c>
      <c r="I152">
        <v>271.41000000000003</v>
      </c>
      <c r="J152">
        <f>Tabela1[[#This Row],[Valor Total]]/Tabela1[[#This Row],[Quantidade]]</f>
        <v>271.41000000000003</v>
      </c>
      <c r="K152" t="str">
        <f>TEXT(Tabela1[[#This Row],[Data]],"aaaa-mm")</f>
        <v>2023-06</v>
      </c>
    </row>
    <row r="153" spans="1:11">
      <c r="A153" s="1">
        <v>45093</v>
      </c>
      <c r="B153" t="s">
        <v>61</v>
      </c>
      <c r="C153" t="s">
        <v>6</v>
      </c>
      <c r="D153" t="s">
        <v>66</v>
      </c>
      <c r="E153">
        <v>8</v>
      </c>
      <c r="F153">
        <v>485.04</v>
      </c>
      <c r="G153" t="s">
        <v>11</v>
      </c>
      <c r="H153" t="s">
        <v>63</v>
      </c>
      <c r="I153">
        <v>3880.32</v>
      </c>
      <c r="J153">
        <f>Tabela1[[#This Row],[Valor Total]]/Tabela1[[#This Row],[Quantidade]]</f>
        <v>485.04</v>
      </c>
      <c r="K153" t="str">
        <f>TEXT(Tabela1[[#This Row],[Data]],"aaaa-mm")</f>
        <v>2023-06</v>
      </c>
    </row>
    <row r="154" spans="1:11">
      <c r="A154" s="1">
        <v>45094</v>
      </c>
      <c r="B154" t="s">
        <v>74</v>
      </c>
      <c r="C154" t="s">
        <v>8</v>
      </c>
      <c r="D154" t="s">
        <v>70</v>
      </c>
      <c r="E154">
        <v>2</v>
      </c>
      <c r="F154">
        <v>255.97</v>
      </c>
      <c r="G154" t="s">
        <v>12</v>
      </c>
      <c r="H154" t="s">
        <v>71</v>
      </c>
      <c r="I154">
        <v>511.94</v>
      </c>
      <c r="J154">
        <f>Tabela1[[#This Row],[Valor Total]]/Tabela1[[#This Row],[Quantidade]]</f>
        <v>255.97</v>
      </c>
      <c r="K154" t="str">
        <f>TEXT(Tabela1[[#This Row],[Data]],"aaaa-mm")</f>
        <v>2023-06</v>
      </c>
    </row>
    <row r="155" spans="1:11">
      <c r="A155" s="1">
        <v>45095</v>
      </c>
      <c r="B155" t="s">
        <v>74</v>
      </c>
      <c r="C155" t="s">
        <v>8</v>
      </c>
      <c r="D155" t="s">
        <v>73</v>
      </c>
      <c r="E155">
        <v>4</v>
      </c>
      <c r="F155">
        <v>71.62</v>
      </c>
      <c r="G155" t="s">
        <v>11</v>
      </c>
      <c r="H155" t="s">
        <v>64</v>
      </c>
      <c r="I155">
        <v>286.48</v>
      </c>
      <c r="J155">
        <f>Tabela1[[#This Row],[Valor Total]]/Tabela1[[#This Row],[Quantidade]]</f>
        <v>71.62</v>
      </c>
      <c r="K155" t="str">
        <f>TEXT(Tabela1[[#This Row],[Data]],"aaaa-mm")</f>
        <v>2023-06</v>
      </c>
    </row>
    <row r="156" spans="1:11">
      <c r="A156" s="1">
        <v>45096</v>
      </c>
      <c r="B156" t="s">
        <v>61</v>
      </c>
      <c r="C156" t="s">
        <v>4</v>
      </c>
      <c r="D156" t="s">
        <v>66</v>
      </c>
      <c r="E156">
        <v>3</v>
      </c>
      <c r="F156">
        <v>437.86</v>
      </c>
      <c r="G156" t="s">
        <v>14</v>
      </c>
      <c r="H156" t="s">
        <v>64</v>
      </c>
      <c r="I156">
        <v>1313.58</v>
      </c>
      <c r="J156">
        <f>Tabela1[[#This Row],[Valor Total]]/Tabela1[[#This Row],[Quantidade]]</f>
        <v>437.85999999999996</v>
      </c>
      <c r="K156" t="str">
        <f>TEXT(Tabela1[[#This Row],[Data]],"aaaa-mm")</f>
        <v>2023-06</v>
      </c>
    </row>
    <row r="157" spans="1:11">
      <c r="A157" s="1">
        <v>45097</v>
      </c>
      <c r="B157" t="s">
        <v>68</v>
      </c>
      <c r="C157" t="s">
        <v>5</v>
      </c>
      <c r="D157" t="s">
        <v>73</v>
      </c>
      <c r="E157">
        <v>4</v>
      </c>
      <c r="F157">
        <v>245.65</v>
      </c>
      <c r="G157" t="s">
        <v>15</v>
      </c>
      <c r="H157" t="s">
        <v>71</v>
      </c>
      <c r="I157">
        <v>982.6</v>
      </c>
      <c r="J157">
        <f>Tabela1[[#This Row],[Valor Total]]/Tabela1[[#This Row],[Quantidade]]</f>
        <v>245.65</v>
      </c>
      <c r="K157" t="str">
        <f>TEXT(Tabela1[[#This Row],[Data]],"aaaa-mm")</f>
        <v>2023-06</v>
      </c>
    </row>
    <row r="158" spans="1:11">
      <c r="A158" s="1">
        <v>45099</v>
      </c>
      <c r="B158" t="s">
        <v>68</v>
      </c>
      <c r="C158" t="s">
        <v>8</v>
      </c>
      <c r="D158" t="s">
        <v>73</v>
      </c>
      <c r="E158">
        <v>8</v>
      </c>
      <c r="F158">
        <v>179.19</v>
      </c>
      <c r="G158" t="s">
        <v>15</v>
      </c>
      <c r="H158" t="s">
        <v>71</v>
      </c>
      <c r="I158">
        <v>1433.52</v>
      </c>
      <c r="J158">
        <f>Tabela1[[#This Row],[Valor Total]]/Tabela1[[#This Row],[Quantidade]]</f>
        <v>179.19</v>
      </c>
      <c r="K158" t="str">
        <f>TEXT(Tabela1[[#This Row],[Data]],"aaaa-mm")</f>
        <v>2023-06</v>
      </c>
    </row>
    <row r="159" spans="1:11">
      <c r="A159" s="1">
        <v>45100</v>
      </c>
      <c r="B159" t="s">
        <v>68</v>
      </c>
      <c r="C159" t="s">
        <v>8</v>
      </c>
      <c r="D159" t="s">
        <v>62</v>
      </c>
      <c r="E159">
        <v>6</v>
      </c>
      <c r="F159">
        <v>99.41</v>
      </c>
      <c r="G159" t="s">
        <v>13</v>
      </c>
      <c r="H159" t="s">
        <v>63</v>
      </c>
      <c r="I159">
        <v>596.46</v>
      </c>
      <c r="J159">
        <f>Tabela1[[#This Row],[Valor Total]]/Tabela1[[#This Row],[Quantidade]]</f>
        <v>99.410000000000011</v>
      </c>
      <c r="K159" t="str">
        <f>TEXT(Tabela1[[#This Row],[Data]],"aaaa-mm")</f>
        <v>2023-06</v>
      </c>
    </row>
    <row r="160" spans="1:11">
      <c r="A160" s="1">
        <v>45101</v>
      </c>
      <c r="B160" t="s">
        <v>68</v>
      </c>
      <c r="C160" t="s">
        <v>6</v>
      </c>
      <c r="D160" t="s">
        <v>66</v>
      </c>
      <c r="E160">
        <v>1</v>
      </c>
      <c r="F160">
        <v>91.62</v>
      </c>
      <c r="G160" t="s">
        <v>14</v>
      </c>
      <c r="H160" t="s">
        <v>71</v>
      </c>
      <c r="I160">
        <v>91.62</v>
      </c>
      <c r="J160">
        <f>Tabela1[[#This Row],[Valor Total]]/Tabela1[[#This Row],[Quantidade]]</f>
        <v>91.62</v>
      </c>
      <c r="K160" t="str">
        <f>TEXT(Tabela1[[#This Row],[Data]],"aaaa-mm")</f>
        <v>2023-06</v>
      </c>
    </row>
    <row r="161" spans="1:11">
      <c r="A161" s="1">
        <v>45102</v>
      </c>
      <c r="B161" t="s">
        <v>72</v>
      </c>
      <c r="C161" t="s">
        <v>5</v>
      </c>
      <c r="D161" t="s">
        <v>73</v>
      </c>
      <c r="E161">
        <v>7</v>
      </c>
      <c r="F161">
        <v>163.19</v>
      </c>
      <c r="G161" t="s">
        <v>12</v>
      </c>
      <c r="H161" t="s">
        <v>67</v>
      </c>
      <c r="I161">
        <v>1142.33</v>
      </c>
      <c r="J161">
        <f>Tabela1[[#This Row],[Valor Total]]/Tabela1[[#This Row],[Quantidade]]</f>
        <v>163.19</v>
      </c>
      <c r="K161" t="str">
        <f>TEXT(Tabela1[[#This Row],[Data]],"aaaa-mm")</f>
        <v>2023-06</v>
      </c>
    </row>
    <row r="162" spans="1:11">
      <c r="A162" s="1">
        <v>45103</v>
      </c>
      <c r="B162" t="s">
        <v>74</v>
      </c>
      <c r="C162" t="s">
        <v>5</v>
      </c>
      <c r="D162" t="s">
        <v>66</v>
      </c>
      <c r="E162">
        <v>4</v>
      </c>
      <c r="F162">
        <v>375.36</v>
      </c>
      <c r="G162" t="s">
        <v>14</v>
      </c>
      <c r="H162" t="s">
        <v>67</v>
      </c>
      <c r="I162">
        <v>1501.44</v>
      </c>
      <c r="J162">
        <f>Tabela1[[#This Row],[Valor Total]]/Tabela1[[#This Row],[Quantidade]]</f>
        <v>375.36</v>
      </c>
      <c r="K162" t="str">
        <f>TEXT(Tabela1[[#This Row],[Data]],"aaaa-mm")</f>
        <v>2023-06</v>
      </c>
    </row>
    <row r="163" spans="1:11">
      <c r="A163" s="1">
        <v>45104</v>
      </c>
      <c r="B163" t="s">
        <v>68</v>
      </c>
      <c r="C163" t="s">
        <v>7</v>
      </c>
      <c r="D163" t="s">
        <v>73</v>
      </c>
      <c r="E163">
        <v>7</v>
      </c>
      <c r="F163">
        <v>67.069999999999993</v>
      </c>
      <c r="G163" t="s">
        <v>12</v>
      </c>
      <c r="H163" t="s">
        <v>63</v>
      </c>
      <c r="I163">
        <v>469.49</v>
      </c>
      <c r="J163">
        <f>Tabela1[[#This Row],[Valor Total]]/Tabela1[[#This Row],[Quantidade]]</f>
        <v>67.070000000000007</v>
      </c>
      <c r="K163" t="str">
        <f>TEXT(Tabela1[[#This Row],[Data]],"aaaa-mm")</f>
        <v>2023-06</v>
      </c>
    </row>
    <row r="164" spans="1:11">
      <c r="A164" s="1">
        <v>45105</v>
      </c>
      <c r="B164" t="s">
        <v>68</v>
      </c>
      <c r="C164" t="s">
        <v>6</v>
      </c>
      <c r="D164" t="s">
        <v>65</v>
      </c>
      <c r="E164">
        <v>3</v>
      </c>
      <c r="F164">
        <v>167.29</v>
      </c>
      <c r="G164" t="s">
        <v>13</v>
      </c>
      <c r="H164" t="s">
        <v>71</v>
      </c>
      <c r="I164">
        <v>501.87</v>
      </c>
      <c r="J164">
        <f>Tabela1[[#This Row],[Valor Total]]/Tabela1[[#This Row],[Quantidade]]</f>
        <v>167.29</v>
      </c>
      <c r="K164" t="str">
        <f>TEXT(Tabela1[[#This Row],[Data]],"aaaa-mm")</f>
        <v>2023-06</v>
      </c>
    </row>
    <row r="165" spans="1:11">
      <c r="A165" s="1">
        <v>45106</v>
      </c>
      <c r="B165" t="s">
        <v>61</v>
      </c>
      <c r="C165" t="s">
        <v>4</v>
      </c>
      <c r="D165" t="s">
        <v>73</v>
      </c>
      <c r="E165">
        <v>6</v>
      </c>
      <c r="F165">
        <v>248.01</v>
      </c>
      <c r="G165" t="s">
        <v>11</v>
      </c>
      <c r="H165" t="s">
        <v>64</v>
      </c>
      <c r="I165">
        <v>1488.06</v>
      </c>
      <c r="J165">
        <f>Tabela1[[#This Row],[Valor Total]]/Tabela1[[#This Row],[Quantidade]]</f>
        <v>248.01</v>
      </c>
      <c r="K165" t="str">
        <f>TEXT(Tabela1[[#This Row],[Data]],"aaaa-mm")</f>
        <v>2023-06</v>
      </c>
    </row>
    <row r="166" spans="1:11">
      <c r="A166" s="1">
        <v>45107</v>
      </c>
      <c r="B166" t="s">
        <v>74</v>
      </c>
      <c r="C166" t="s">
        <v>8</v>
      </c>
      <c r="D166" t="s">
        <v>73</v>
      </c>
      <c r="E166">
        <v>7</v>
      </c>
      <c r="F166">
        <v>154.47</v>
      </c>
      <c r="G166" t="s">
        <v>14</v>
      </c>
      <c r="H166" t="s">
        <v>71</v>
      </c>
      <c r="I166">
        <v>1081.29</v>
      </c>
      <c r="J166">
        <f>Tabela1[[#This Row],[Valor Total]]/Tabela1[[#This Row],[Quantidade]]</f>
        <v>154.47</v>
      </c>
      <c r="K166" t="str">
        <f>TEXT(Tabela1[[#This Row],[Data]],"aaaa-mm")</f>
        <v>2023-06</v>
      </c>
    </row>
    <row r="167" spans="1:11">
      <c r="A167" s="1">
        <v>45108</v>
      </c>
      <c r="B167" t="s">
        <v>72</v>
      </c>
      <c r="C167" t="s">
        <v>6</v>
      </c>
      <c r="D167" t="s">
        <v>65</v>
      </c>
      <c r="E167">
        <v>4</v>
      </c>
      <c r="F167">
        <v>227.14</v>
      </c>
      <c r="G167" t="s">
        <v>12</v>
      </c>
      <c r="H167" t="s">
        <v>71</v>
      </c>
      <c r="I167">
        <v>908.56</v>
      </c>
      <c r="J167">
        <f>Tabela1[[#This Row],[Valor Total]]/Tabela1[[#This Row],[Quantidade]]</f>
        <v>227.14</v>
      </c>
      <c r="K167" t="str">
        <f>TEXT(Tabela1[[#This Row],[Data]],"aaaa-mm")</f>
        <v>2023-07</v>
      </c>
    </row>
    <row r="168" spans="1:11">
      <c r="A168" s="1">
        <v>45110</v>
      </c>
      <c r="B168" t="s">
        <v>68</v>
      </c>
      <c r="C168" t="s">
        <v>8</v>
      </c>
      <c r="D168" t="s">
        <v>70</v>
      </c>
      <c r="E168">
        <v>9</v>
      </c>
      <c r="F168">
        <v>24.11</v>
      </c>
      <c r="G168" t="s">
        <v>14</v>
      </c>
      <c r="H168" t="s">
        <v>64</v>
      </c>
      <c r="I168">
        <v>216.99</v>
      </c>
      <c r="J168">
        <f>Tabela1[[#This Row],[Valor Total]]/Tabela1[[#This Row],[Quantidade]]</f>
        <v>24.11</v>
      </c>
      <c r="K168" t="str">
        <f>TEXT(Tabela1[[#This Row],[Data]],"aaaa-mm")</f>
        <v>2023-07</v>
      </c>
    </row>
    <row r="169" spans="1:11">
      <c r="A169" s="1">
        <v>45111</v>
      </c>
      <c r="B169" t="s">
        <v>74</v>
      </c>
      <c r="C169" t="s">
        <v>5</v>
      </c>
      <c r="D169" t="s">
        <v>66</v>
      </c>
      <c r="E169">
        <v>8</v>
      </c>
      <c r="F169">
        <v>173.11</v>
      </c>
      <c r="G169" t="s">
        <v>15</v>
      </c>
      <c r="H169" t="s">
        <v>63</v>
      </c>
      <c r="I169">
        <v>1384.88</v>
      </c>
      <c r="J169">
        <f>Tabela1[[#This Row],[Valor Total]]/Tabela1[[#This Row],[Quantidade]]</f>
        <v>173.11</v>
      </c>
      <c r="K169" t="str">
        <f>TEXT(Tabela1[[#This Row],[Data]],"aaaa-mm")</f>
        <v>2023-07</v>
      </c>
    </row>
    <row r="170" spans="1:11">
      <c r="A170" s="1">
        <v>45112</v>
      </c>
      <c r="B170" t="s">
        <v>69</v>
      </c>
      <c r="C170" t="s">
        <v>8</v>
      </c>
      <c r="D170" t="s">
        <v>62</v>
      </c>
      <c r="E170">
        <v>1</v>
      </c>
      <c r="F170">
        <v>229.27</v>
      </c>
      <c r="G170" t="s">
        <v>15</v>
      </c>
      <c r="H170" t="s">
        <v>71</v>
      </c>
      <c r="I170">
        <v>229.27</v>
      </c>
      <c r="J170">
        <f>Tabela1[[#This Row],[Valor Total]]/Tabela1[[#This Row],[Quantidade]]</f>
        <v>229.27</v>
      </c>
      <c r="K170" t="str">
        <f>TEXT(Tabela1[[#This Row],[Data]],"aaaa-mm")</f>
        <v>2023-07</v>
      </c>
    </row>
    <row r="171" spans="1:11">
      <c r="A171" s="1">
        <v>45113</v>
      </c>
      <c r="B171" t="s">
        <v>69</v>
      </c>
      <c r="C171" t="s">
        <v>6</v>
      </c>
      <c r="D171" t="s">
        <v>66</v>
      </c>
      <c r="E171">
        <v>7</v>
      </c>
      <c r="F171">
        <v>194.08</v>
      </c>
      <c r="G171" t="s">
        <v>13</v>
      </c>
      <c r="H171" t="s">
        <v>64</v>
      </c>
      <c r="I171">
        <v>1358.56</v>
      </c>
      <c r="J171">
        <f>Tabela1[[#This Row],[Valor Total]]/Tabela1[[#This Row],[Quantidade]]</f>
        <v>194.07999999999998</v>
      </c>
      <c r="K171" t="str">
        <f>TEXT(Tabela1[[#This Row],[Data]],"aaaa-mm")</f>
        <v>2023-07</v>
      </c>
    </row>
    <row r="172" spans="1:11">
      <c r="A172" s="1">
        <v>45114</v>
      </c>
      <c r="B172" t="s">
        <v>74</v>
      </c>
      <c r="C172" t="s">
        <v>5</v>
      </c>
      <c r="D172" t="s">
        <v>73</v>
      </c>
      <c r="E172">
        <v>8</v>
      </c>
      <c r="F172">
        <v>206.61</v>
      </c>
      <c r="G172" t="s">
        <v>13</v>
      </c>
      <c r="H172" t="s">
        <v>71</v>
      </c>
      <c r="I172">
        <v>1652.88</v>
      </c>
      <c r="J172">
        <f>Tabela1[[#This Row],[Valor Total]]/Tabela1[[#This Row],[Quantidade]]</f>
        <v>206.61</v>
      </c>
      <c r="K172" t="str">
        <f>TEXT(Tabela1[[#This Row],[Data]],"aaaa-mm")</f>
        <v>2023-07</v>
      </c>
    </row>
    <row r="173" spans="1:11">
      <c r="A173" s="1">
        <v>45115</v>
      </c>
      <c r="B173" t="s">
        <v>74</v>
      </c>
      <c r="C173" t="s">
        <v>8</v>
      </c>
      <c r="D173" t="s">
        <v>65</v>
      </c>
      <c r="E173">
        <v>3</v>
      </c>
      <c r="F173">
        <v>223.43</v>
      </c>
      <c r="G173" t="s">
        <v>12</v>
      </c>
      <c r="H173" t="s">
        <v>71</v>
      </c>
      <c r="I173">
        <v>670.29</v>
      </c>
      <c r="J173">
        <f>Tabela1[[#This Row],[Valor Total]]/Tabela1[[#This Row],[Quantidade]]</f>
        <v>223.42999999999998</v>
      </c>
      <c r="K173" t="str">
        <f>TEXT(Tabela1[[#This Row],[Data]],"aaaa-mm")</f>
        <v>2023-07</v>
      </c>
    </row>
    <row r="174" spans="1:11">
      <c r="A174" s="1">
        <v>45116</v>
      </c>
      <c r="B174" t="s">
        <v>61</v>
      </c>
      <c r="C174" t="s">
        <v>7</v>
      </c>
      <c r="D174" t="s">
        <v>70</v>
      </c>
      <c r="E174">
        <v>6</v>
      </c>
      <c r="F174">
        <v>84.11</v>
      </c>
      <c r="G174" t="s">
        <v>12</v>
      </c>
      <c r="H174" t="s">
        <v>71</v>
      </c>
      <c r="I174">
        <v>504.66</v>
      </c>
      <c r="J174">
        <f>Tabela1[[#This Row],[Valor Total]]/Tabela1[[#This Row],[Quantidade]]</f>
        <v>84.11</v>
      </c>
      <c r="K174" t="str">
        <f>TEXT(Tabela1[[#This Row],[Data]],"aaaa-mm")</f>
        <v>2023-07</v>
      </c>
    </row>
    <row r="175" spans="1:11">
      <c r="A175" s="1">
        <v>45117</v>
      </c>
      <c r="B175" t="s">
        <v>74</v>
      </c>
      <c r="C175" t="s">
        <v>6</v>
      </c>
      <c r="D175" t="s">
        <v>66</v>
      </c>
      <c r="E175">
        <v>2</v>
      </c>
      <c r="F175">
        <v>210.46</v>
      </c>
      <c r="G175" t="s">
        <v>11</v>
      </c>
      <c r="H175" t="s">
        <v>63</v>
      </c>
      <c r="I175">
        <v>420.92</v>
      </c>
      <c r="J175">
        <f>Tabela1[[#This Row],[Valor Total]]/Tabela1[[#This Row],[Quantidade]]</f>
        <v>210.46</v>
      </c>
      <c r="K175" t="str">
        <f>TEXT(Tabela1[[#This Row],[Data]],"aaaa-mm")</f>
        <v>2023-07</v>
      </c>
    </row>
    <row r="176" spans="1:11">
      <c r="A176" s="1">
        <v>45118</v>
      </c>
      <c r="B176" t="s">
        <v>69</v>
      </c>
      <c r="C176" t="s">
        <v>7</v>
      </c>
      <c r="D176" t="s">
        <v>73</v>
      </c>
      <c r="E176">
        <v>4</v>
      </c>
      <c r="F176">
        <v>385.83</v>
      </c>
      <c r="G176" t="s">
        <v>15</v>
      </c>
      <c r="H176" t="s">
        <v>67</v>
      </c>
      <c r="I176">
        <v>1543.32</v>
      </c>
      <c r="J176">
        <f>Tabela1[[#This Row],[Valor Total]]/Tabela1[[#This Row],[Quantidade]]</f>
        <v>385.83</v>
      </c>
      <c r="K176" t="str">
        <f>TEXT(Tabela1[[#This Row],[Data]],"aaaa-mm")</f>
        <v>2023-07</v>
      </c>
    </row>
    <row r="177" spans="1:11">
      <c r="A177" s="1">
        <v>45119</v>
      </c>
      <c r="B177" t="s">
        <v>72</v>
      </c>
      <c r="C177" t="s">
        <v>4</v>
      </c>
      <c r="D177" t="s">
        <v>62</v>
      </c>
      <c r="E177">
        <v>2</v>
      </c>
      <c r="F177">
        <v>138.1</v>
      </c>
      <c r="G177" t="s">
        <v>12</v>
      </c>
      <c r="H177" t="s">
        <v>67</v>
      </c>
      <c r="I177">
        <v>276.2</v>
      </c>
      <c r="J177">
        <f>Tabela1[[#This Row],[Valor Total]]/Tabela1[[#This Row],[Quantidade]]</f>
        <v>138.1</v>
      </c>
      <c r="K177" t="str">
        <f>TEXT(Tabela1[[#This Row],[Data]],"aaaa-mm")</f>
        <v>2023-07</v>
      </c>
    </row>
    <row r="178" spans="1:11">
      <c r="A178" s="1">
        <v>45121</v>
      </c>
      <c r="B178" t="s">
        <v>72</v>
      </c>
      <c r="C178" t="s">
        <v>6</v>
      </c>
      <c r="D178" t="s">
        <v>66</v>
      </c>
      <c r="E178">
        <v>2</v>
      </c>
      <c r="F178">
        <v>394.15</v>
      </c>
      <c r="G178" t="s">
        <v>11</v>
      </c>
      <c r="H178" t="s">
        <v>71</v>
      </c>
      <c r="I178">
        <v>788.3</v>
      </c>
      <c r="J178">
        <f>Tabela1[[#This Row],[Valor Total]]/Tabela1[[#This Row],[Quantidade]]</f>
        <v>394.15</v>
      </c>
      <c r="K178" t="str">
        <f>TEXT(Tabela1[[#This Row],[Data]],"aaaa-mm")</f>
        <v>2023-07</v>
      </c>
    </row>
    <row r="179" spans="1:11">
      <c r="A179" s="1">
        <v>45122</v>
      </c>
      <c r="B179" t="s">
        <v>61</v>
      </c>
      <c r="C179" t="s">
        <v>6</v>
      </c>
      <c r="D179" t="s">
        <v>65</v>
      </c>
      <c r="E179">
        <v>3</v>
      </c>
      <c r="F179">
        <v>190.51</v>
      </c>
      <c r="G179" t="s">
        <v>12</v>
      </c>
      <c r="H179" t="s">
        <v>67</v>
      </c>
      <c r="I179">
        <v>571.53</v>
      </c>
      <c r="J179">
        <f>Tabela1[[#This Row],[Valor Total]]/Tabela1[[#This Row],[Quantidade]]</f>
        <v>190.51</v>
      </c>
      <c r="K179" t="str">
        <f>TEXT(Tabela1[[#This Row],[Data]],"aaaa-mm")</f>
        <v>2023-07</v>
      </c>
    </row>
    <row r="180" spans="1:11">
      <c r="A180" s="1">
        <v>45123</v>
      </c>
      <c r="B180" t="s">
        <v>74</v>
      </c>
      <c r="C180" t="s">
        <v>5</v>
      </c>
      <c r="D180" t="s">
        <v>73</v>
      </c>
      <c r="E180">
        <v>3</v>
      </c>
      <c r="F180">
        <v>337.44</v>
      </c>
      <c r="G180" t="s">
        <v>13</v>
      </c>
      <c r="H180" t="s">
        <v>71</v>
      </c>
      <c r="I180">
        <v>1012.32</v>
      </c>
      <c r="J180">
        <f>Tabela1[[#This Row],[Valor Total]]/Tabela1[[#This Row],[Quantidade]]</f>
        <v>337.44</v>
      </c>
      <c r="K180" t="str">
        <f>TEXT(Tabela1[[#This Row],[Data]],"aaaa-mm")</f>
        <v>2023-07</v>
      </c>
    </row>
    <row r="181" spans="1:11">
      <c r="A181" s="1">
        <v>45124</v>
      </c>
      <c r="B181" t="s">
        <v>61</v>
      </c>
      <c r="C181" t="s">
        <v>8</v>
      </c>
      <c r="D181" t="s">
        <v>65</v>
      </c>
      <c r="E181">
        <v>2</v>
      </c>
      <c r="F181">
        <v>92.77</v>
      </c>
      <c r="G181" t="s">
        <v>14</v>
      </c>
      <c r="H181" t="s">
        <v>71</v>
      </c>
      <c r="I181">
        <v>185.54</v>
      </c>
      <c r="J181">
        <f>Tabela1[[#This Row],[Valor Total]]/Tabela1[[#This Row],[Quantidade]]</f>
        <v>92.77</v>
      </c>
      <c r="K181" t="str">
        <f>TEXT(Tabela1[[#This Row],[Data]],"aaaa-mm")</f>
        <v>2023-07</v>
      </c>
    </row>
    <row r="182" spans="1:11">
      <c r="A182" s="1">
        <v>45125</v>
      </c>
      <c r="B182" t="s">
        <v>69</v>
      </c>
      <c r="C182" t="s">
        <v>6</v>
      </c>
      <c r="D182" t="s">
        <v>70</v>
      </c>
      <c r="E182">
        <v>9</v>
      </c>
      <c r="F182">
        <v>156.79</v>
      </c>
      <c r="G182" t="s">
        <v>14</v>
      </c>
      <c r="H182" t="s">
        <v>64</v>
      </c>
      <c r="I182">
        <v>1411.11</v>
      </c>
      <c r="J182">
        <f>Tabela1[[#This Row],[Valor Total]]/Tabela1[[#This Row],[Quantidade]]</f>
        <v>156.79</v>
      </c>
      <c r="K182" t="str">
        <f>TEXT(Tabela1[[#This Row],[Data]],"aaaa-mm")</f>
        <v>2023-07</v>
      </c>
    </row>
    <row r="183" spans="1:11">
      <c r="A183" s="1">
        <v>45126</v>
      </c>
      <c r="B183" t="s">
        <v>61</v>
      </c>
      <c r="C183" t="s">
        <v>6</v>
      </c>
      <c r="D183" t="s">
        <v>66</v>
      </c>
      <c r="E183">
        <v>7</v>
      </c>
      <c r="F183">
        <v>379.38</v>
      </c>
      <c r="G183" t="s">
        <v>14</v>
      </c>
      <c r="H183" t="s">
        <v>63</v>
      </c>
      <c r="I183">
        <v>2655.66</v>
      </c>
      <c r="J183">
        <f>Tabela1[[#This Row],[Valor Total]]/Tabela1[[#This Row],[Quantidade]]</f>
        <v>379.38</v>
      </c>
      <c r="K183" t="str">
        <f>TEXT(Tabela1[[#This Row],[Data]],"aaaa-mm")</f>
        <v>2023-07</v>
      </c>
    </row>
    <row r="184" spans="1:11">
      <c r="A184" s="1">
        <v>45127</v>
      </c>
      <c r="B184" t="s">
        <v>74</v>
      </c>
      <c r="C184" t="s">
        <v>4</v>
      </c>
      <c r="D184" t="s">
        <v>62</v>
      </c>
      <c r="E184">
        <v>1</v>
      </c>
      <c r="F184">
        <v>309.89</v>
      </c>
      <c r="G184" t="s">
        <v>13</v>
      </c>
      <c r="H184" t="s">
        <v>64</v>
      </c>
      <c r="I184">
        <v>309.89</v>
      </c>
      <c r="J184">
        <f>Tabela1[[#This Row],[Valor Total]]/Tabela1[[#This Row],[Quantidade]]</f>
        <v>309.89</v>
      </c>
      <c r="K184" t="str">
        <f>TEXT(Tabela1[[#This Row],[Data]],"aaaa-mm")</f>
        <v>2023-07</v>
      </c>
    </row>
    <row r="185" spans="1:11">
      <c r="A185" s="1">
        <v>45128</v>
      </c>
      <c r="B185" t="s">
        <v>61</v>
      </c>
      <c r="C185" t="s">
        <v>4</v>
      </c>
      <c r="D185" t="s">
        <v>70</v>
      </c>
      <c r="E185">
        <v>5</v>
      </c>
      <c r="F185">
        <v>204.91</v>
      </c>
      <c r="G185" t="s">
        <v>14</v>
      </c>
      <c r="H185" t="s">
        <v>63</v>
      </c>
      <c r="I185">
        <v>1024.55</v>
      </c>
      <c r="J185">
        <f>Tabela1[[#This Row],[Valor Total]]/Tabela1[[#This Row],[Quantidade]]</f>
        <v>204.91</v>
      </c>
      <c r="K185" t="str">
        <f>TEXT(Tabela1[[#This Row],[Data]],"aaaa-mm")</f>
        <v>2023-07</v>
      </c>
    </row>
    <row r="186" spans="1:11">
      <c r="A186" s="1">
        <v>45129</v>
      </c>
      <c r="B186" t="s">
        <v>72</v>
      </c>
      <c r="C186" t="s">
        <v>5</v>
      </c>
      <c r="D186" t="s">
        <v>65</v>
      </c>
      <c r="E186">
        <v>6</v>
      </c>
      <c r="F186">
        <v>371.96</v>
      </c>
      <c r="G186" t="s">
        <v>12</v>
      </c>
      <c r="H186" t="s">
        <v>67</v>
      </c>
      <c r="I186">
        <v>2231.7600000000002</v>
      </c>
      <c r="J186">
        <f>Tabela1[[#This Row],[Valor Total]]/Tabela1[[#This Row],[Quantidade]]</f>
        <v>371.96000000000004</v>
      </c>
      <c r="K186" t="str">
        <f>TEXT(Tabela1[[#This Row],[Data]],"aaaa-mm")</f>
        <v>2023-07</v>
      </c>
    </row>
    <row r="187" spans="1:11">
      <c r="A187" s="1">
        <v>45130</v>
      </c>
      <c r="B187" t="s">
        <v>74</v>
      </c>
      <c r="C187" t="s">
        <v>6</v>
      </c>
      <c r="D187" t="s">
        <v>62</v>
      </c>
      <c r="E187">
        <v>3</v>
      </c>
      <c r="F187">
        <v>232.07</v>
      </c>
      <c r="G187" t="s">
        <v>13</v>
      </c>
      <c r="H187" t="s">
        <v>64</v>
      </c>
      <c r="I187">
        <v>696.21</v>
      </c>
      <c r="J187">
        <f>Tabela1[[#This Row],[Valor Total]]/Tabela1[[#This Row],[Quantidade]]</f>
        <v>232.07000000000002</v>
      </c>
      <c r="K187" t="str">
        <f>TEXT(Tabela1[[#This Row],[Data]],"aaaa-mm")</f>
        <v>2023-07</v>
      </c>
    </row>
    <row r="188" spans="1:11">
      <c r="A188" s="1">
        <v>45131</v>
      </c>
      <c r="B188" t="s">
        <v>74</v>
      </c>
      <c r="C188" t="s">
        <v>6</v>
      </c>
      <c r="D188" t="s">
        <v>70</v>
      </c>
      <c r="E188">
        <v>8</v>
      </c>
      <c r="F188">
        <v>194.94</v>
      </c>
      <c r="G188" t="s">
        <v>15</v>
      </c>
      <c r="H188" t="s">
        <v>64</v>
      </c>
      <c r="I188">
        <v>1559.52</v>
      </c>
      <c r="J188">
        <f>Tabela1[[#This Row],[Valor Total]]/Tabela1[[#This Row],[Quantidade]]</f>
        <v>194.94</v>
      </c>
      <c r="K188" t="str">
        <f>TEXT(Tabela1[[#This Row],[Data]],"aaaa-mm")</f>
        <v>2023-07</v>
      </c>
    </row>
    <row r="189" spans="1:11">
      <c r="A189" s="1">
        <v>45133</v>
      </c>
      <c r="B189" t="s">
        <v>69</v>
      </c>
      <c r="C189" t="s">
        <v>6</v>
      </c>
      <c r="D189" t="s">
        <v>73</v>
      </c>
      <c r="E189">
        <v>2</v>
      </c>
      <c r="F189">
        <v>291.20999999999998</v>
      </c>
      <c r="G189" t="s">
        <v>14</v>
      </c>
      <c r="H189" t="s">
        <v>71</v>
      </c>
      <c r="I189">
        <v>582.41999999999996</v>
      </c>
      <c r="J189">
        <f>Tabela1[[#This Row],[Valor Total]]/Tabela1[[#This Row],[Quantidade]]</f>
        <v>291.20999999999998</v>
      </c>
      <c r="K189" t="str">
        <f>TEXT(Tabela1[[#This Row],[Data]],"aaaa-mm")</f>
        <v>2023-07</v>
      </c>
    </row>
    <row r="190" spans="1:11">
      <c r="A190" s="1">
        <v>45134</v>
      </c>
      <c r="B190" t="s">
        <v>68</v>
      </c>
      <c r="C190" t="s">
        <v>7</v>
      </c>
      <c r="D190" t="s">
        <v>70</v>
      </c>
      <c r="E190">
        <v>8</v>
      </c>
      <c r="F190">
        <v>148.72999999999999</v>
      </c>
      <c r="G190" t="s">
        <v>14</v>
      </c>
      <c r="H190" t="s">
        <v>63</v>
      </c>
      <c r="I190">
        <v>1189.8399999999999</v>
      </c>
      <c r="J190">
        <f>Tabela1[[#This Row],[Valor Total]]/Tabela1[[#This Row],[Quantidade]]</f>
        <v>148.72999999999999</v>
      </c>
      <c r="K190" t="str">
        <f>TEXT(Tabela1[[#This Row],[Data]],"aaaa-mm")</f>
        <v>2023-07</v>
      </c>
    </row>
    <row r="191" spans="1:11">
      <c r="A191" s="1">
        <v>45135</v>
      </c>
      <c r="B191" t="s">
        <v>68</v>
      </c>
      <c r="C191" t="s">
        <v>5</v>
      </c>
      <c r="D191" t="s">
        <v>73</v>
      </c>
      <c r="E191">
        <v>6</v>
      </c>
      <c r="F191">
        <v>360.82</v>
      </c>
      <c r="G191" t="s">
        <v>14</v>
      </c>
      <c r="H191" t="s">
        <v>71</v>
      </c>
      <c r="I191">
        <v>2164.92</v>
      </c>
      <c r="J191">
        <f>Tabela1[[#This Row],[Valor Total]]/Tabela1[[#This Row],[Quantidade]]</f>
        <v>360.82</v>
      </c>
      <c r="K191" t="str">
        <f>TEXT(Tabela1[[#This Row],[Data]],"aaaa-mm")</f>
        <v>2023-07</v>
      </c>
    </row>
    <row r="192" spans="1:11">
      <c r="A192" s="1">
        <v>45136</v>
      </c>
      <c r="B192" t="s">
        <v>69</v>
      </c>
      <c r="C192" t="s">
        <v>8</v>
      </c>
      <c r="D192" t="s">
        <v>73</v>
      </c>
      <c r="E192">
        <v>9</v>
      </c>
      <c r="F192">
        <v>67.36</v>
      </c>
      <c r="G192" t="s">
        <v>14</v>
      </c>
      <c r="H192" t="s">
        <v>64</v>
      </c>
      <c r="I192">
        <v>606.24</v>
      </c>
      <c r="J192">
        <f>Tabela1[[#This Row],[Valor Total]]/Tabela1[[#This Row],[Quantidade]]</f>
        <v>67.36</v>
      </c>
      <c r="K192" t="str">
        <f>TEXT(Tabela1[[#This Row],[Data]],"aaaa-mm")</f>
        <v>2023-07</v>
      </c>
    </row>
    <row r="193" spans="1:11">
      <c r="A193" s="1">
        <v>45137</v>
      </c>
      <c r="B193" t="s">
        <v>74</v>
      </c>
      <c r="C193" t="s">
        <v>5</v>
      </c>
      <c r="D193" t="s">
        <v>65</v>
      </c>
      <c r="E193">
        <v>3</v>
      </c>
      <c r="F193">
        <v>327.23</v>
      </c>
      <c r="G193" t="s">
        <v>12</v>
      </c>
      <c r="H193" t="s">
        <v>67</v>
      </c>
      <c r="I193">
        <v>981.69</v>
      </c>
      <c r="J193">
        <f>Tabela1[[#This Row],[Valor Total]]/Tabela1[[#This Row],[Quantidade]]</f>
        <v>327.23</v>
      </c>
      <c r="K193" t="str">
        <f>TEXT(Tabela1[[#This Row],[Data]],"aaaa-mm")</f>
        <v>2023-07</v>
      </c>
    </row>
    <row r="194" spans="1:11">
      <c r="A194" s="1">
        <v>45138</v>
      </c>
      <c r="B194" t="s">
        <v>69</v>
      </c>
      <c r="C194" t="s">
        <v>4</v>
      </c>
      <c r="D194" t="s">
        <v>66</v>
      </c>
      <c r="E194">
        <v>7</v>
      </c>
      <c r="F194">
        <v>268</v>
      </c>
      <c r="G194" t="s">
        <v>12</v>
      </c>
      <c r="H194" t="s">
        <v>71</v>
      </c>
      <c r="I194">
        <v>1876</v>
      </c>
      <c r="J194">
        <f>Tabela1[[#This Row],[Valor Total]]/Tabela1[[#This Row],[Quantidade]]</f>
        <v>268</v>
      </c>
      <c r="K194" t="str">
        <f>TEXT(Tabela1[[#This Row],[Data]],"aaaa-mm")</f>
        <v>2023-07</v>
      </c>
    </row>
    <row r="195" spans="1:11">
      <c r="A195" s="1">
        <v>45139</v>
      </c>
      <c r="B195" t="s">
        <v>61</v>
      </c>
      <c r="C195" t="s">
        <v>6</v>
      </c>
      <c r="D195" t="s">
        <v>62</v>
      </c>
      <c r="E195">
        <v>2</v>
      </c>
      <c r="F195">
        <v>44.44</v>
      </c>
      <c r="G195" t="s">
        <v>14</v>
      </c>
      <c r="H195" t="s">
        <v>63</v>
      </c>
      <c r="I195">
        <v>88.88</v>
      </c>
      <c r="J195">
        <f>Tabela1[[#This Row],[Valor Total]]/Tabela1[[#This Row],[Quantidade]]</f>
        <v>44.44</v>
      </c>
      <c r="K195" t="str">
        <f>TEXT(Tabela1[[#This Row],[Data]],"aaaa-mm")</f>
        <v>2023-08</v>
      </c>
    </row>
    <row r="196" spans="1:11">
      <c r="A196" s="1">
        <v>45140</v>
      </c>
      <c r="B196" t="s">
        <v>68</v>
      </c>
      <c r="C196" t="s">
        <v>6</v>
      </c>
      <c r="D196" t="s">
        <v>65</v>
      </c>
      <c r="E196">
        <v>2</v>
      </c>
      <c r="F196">
        <v>91.77</v>
      </c>
      <c r="G196" t="s">
        <v>12</v>
      </c>
      <c r="H196" t="s">
        <v>63</v>
      </c>
      <c r="I196">
        <v>183.54</v>
      </c>
      <c r="J196">
        <f>Tabela1[[#This Row],[Valor Total]]/Tabela1[[#This Row],[Quantidade]]</f>
        <v>91.77</v>
      </c>
      <c r="K196" t="str">
        <f>TEXT(Tabela1[[#This Row],[Data]],"aaaa-mm")</f>
        <v>2023-08</v>
      </c>
    </row>
    <row r="197" spans="1:11">
      <c r="A197" s="1">
        <v>45141</v>
      </c>
      <c r="B197" t="s">
        <v>72</v>
      </c>
      <c r="C197" t="s">
        <v>4</v>
      </c>
      <c r="D197" t="s">
        <v>73</v>
      </c>
      <c r="E197">
        <v>5</v>
      </c>
      <c r="F197">
        <v>266.52999999999997</v>
      </c>
      <c r="G197" t="s">
        <v>12</v>
      </c>
      <c r="H197" t="s">
        <v>71</v>
      </c>
      <c r="I197">
        <v>1332.65</v>
      </c>
      <c r="J197">
        <f>Tabela1[[#This Row],[Valor Total]]/Tabela1[[#This Row],[Quantidade]]</f>
        <v>266.53000000000003</v>
      </c>
      <c r="K197" t="str">
        <f>TEXT(Tabela1[[#This Row],[Data]],"aaaa-mm")</f>
        <v>2023-08</v>
      </c>
    </row>
    <row r="198" spans="1:11">
      <c r="A198" s="1">
        <v>45142</v>
      </c>
      <c r="B198" t="s">
        <v>61</v>
      </c>
      <c r="C198" t="s">
        <v>6</v>
      </c>
      <c r="D198" t="s">
        <v>73</v>
      </c>
      <c r="E198">
        <v>8</v>
      </c>
      <c r="F198">
        <v>27.87</v>
      </c>
      <c r="G198" t="s">
        <v>15</v>
      </c>
      <c r="H198" t="s">
        <v>63</v>
      </c>
      <c r="I198">
        <v>222.96</v>
      </c>
      <c r="J198">
        <f>Tabela1[[#This Row],[Valor Total]]/Tabela1[[#This Row],[Quantidade]]</f>
        <v>27.87</v>
      </c>
      <c r="K198" t="str">
        <f>TEXT(Tabela1[[#This Row],[Data]],"aaaa-mm")</f>
        <v>2023-08</v>
      </c>
    </row>
    <row r="199" spans="1:11">
      <c r="A199" s="1">
        <v>45144</v>
      </c>
      <c r="B199" t="s">
        <v>68</v>
      </c>
      <c r="C199" t="s">
        <v>7</v>
      </c>
      <c r="D199" t="s">
        <v>66</v>
      </c>
      <c r="E199">
        <v>9</v>
      </c>
      <c r="F199">
        <v>95.43</v>
      </c>
      <c r="G199" t="s">
        <v>13</v>
      </c>
      <c r="H199" t="s">
        <v>67</v>
      </c>
      <c r="I199">
        <v>858.87000000000012</v>
      </c>
      <c r="J199">
        <f>Tabela1[[#This Row],[Valor Total]]/Tabela1[[#This Row],[Quantidade]]</f>
        <v>95.43</v>
      </c>
      <c r="K199" t="str">
        <f>TEXT(Tabela1[[#This Row],[Data]],"aaaa-mm")</f>
        <v>2023-08</v>
      </c>
    </row>
    <row r="200" spans="1:11">
      <c r="A200" s="1">
        <v>45145</v>
      </c>
      <c r="B200" t="s">
        <v>68</v>
      </c>
      <c r="C200" t="s">
        <v>8</v>
      </c>
      <c r="D200" t="s">
        <v>70</v>
      </c>
      <c r="E200">
        <v>6</v>
      </c>
      <c r="F200">
        <v>443.99</v>
      </c>
      <c r="G200" t="s">
        <v>12</v>
      </c>
      <c r="H200" t="s">
        <v>63</v>
      </c>
      <c r="I200">
        <v>2663.94</v>
      </c>
      <c r="J200">
        <f>Tabela1[[#This Row],[Valor Total]]/Tabela1[[#This Row],[Quantidade]]</f>
        <v>443.99</v>
      </c>
      <c r="K200" t="str">
        <f>TEXT(Tabela1[[#This Row],[Data]],"aaaa-mm")</f>
        <v>2023-08</v>
      </c>
    </row>
    <row r="201" spans="1:11">
      <c r="A201" s="1">
        <v>45146</v>
      </c>
      <c r="B201" t="s">
        <v>68</v>
      </c>
      <c r="C201" t="s">
        <v>4</v>
      </c>
      <c r="D201" t="s">
        <v>66</v>
      </c>
      <c r="E201">
        <v>1</v>
      </c>
      <c r="F201">
        <v>390.88</v>
      </c>
      <c r="G201" t="s">
        <v>15</v>
      </c>
      <c r="H201" t="s">
        <v>63</v>
      </c>
      <c r="I201">
        <v>390.88</v>
      </c>
      <c r="J201">
        <f>Tabela1[[#This Row],[Valor Total]]/Tabela1[[#This Row],[Quantidade]]</f>
        <v>390.88</v>
      </c>
      <c r="K201" t="str">
        <f>TEXT(Tabela1[[#This Row],[Data]],"aaaa-mm")</f>
        <v>2023-08</v>
      </c>
    </row>
    <row r="202" spans="1:11">
      <c r="A202" s="1">
        <v>45147</v>
      </c>
      <c r="B202" t="s">
        <v>74</v>
      </c>
      <c r="C202" t="s">
        <v>7</v>
      </c>
      <c r="D202" t="s">
        <v>70</v>
      </c>
      <c r="E202">
        <v>3</v>
      </c>
      <c r="F202">
        <v>402.15</v>
      </c>
      <c r="G202" t="s">
        <v>11</v>
      </c>
      <c r="H202" t="s">
        <v>67</v>
      </c>
      <c r="I202">
        <v>1206.45</v>
      </c>
      <c r="J202">
        <f>Tabela1[[#This Row],[Valor Total]]/Tabela1[[#This Row],[Quantidade]]</f>
        <v>402.15000000000003</v>
      </c>
      <c r="K202" t="str">
        <f>TEXT(Tabela1[[#This Row],[Data]],"aaaa-mm")</f>
        <v>2023-08</v>
      </c>
    </row>
    <row r="203" spans="1:11">
      <c r="A203" s="1">
        <v>45148</v>
      </c>
      <c r="B203" t="s">
        <v>72</v>
      </c>
      <c r="C203" t="s">
        <v>8</v>
      </c>
      <c r="D203" t="s">
        <v>65</v>
      </c>
      <c r="E203">
        <v>6</v>
      </c>
      <c r="F203">
        <v>434.75</v>
      </c>
      <c r="G203" t="s">
        <v>11</v>
      </c>
      <c r="H203" t="s">
        <v>67</v>
      </c>
      <c r="I203">
        <v>2608.5</v>
      </c>
      <c r="J203">
        <f>Tabela1[[#This Row],[Valor Total]]/Tabela1[[#This Row],[Quantidade]]</f>
        <v>434.75</v>
      </c>
      <c r="K203" t="str">
        <f>TEXT(Tabela1[[#This Row],[Data]],"aaaa-mm")</f>
        <v>2023-08</v>
      </c>
    </row>
    <row r="204" spans="1:11">
      <c r="A204" s="1">
        <v>45149</v>
      </c>
      <c r="B204" t="s">
        <v>74</v>
      </c>
      <c r="C204" t="s">
        <v>8</v>
      </c>
      <c r="D204" t="s">
        <v>62</v>
      </c>
      <c r="E204">
        <v>1</v>
      </c>
      <c r="F204">
        <v>499.88</v>
      </c>
      <c r="G204" t="s">
        <v>12</v>
      </c>
      <c r="H204" t="s">
        <v>71</v>
      </c>
      <c r="I204">
        <v>499.88</v>
      </c>
      <c r="J204">
        <f>Tabela1[[#This Row],[Valor Total]]/Tabela1[[#This Row],[Quantidade]]</f>
        <v>499.88</v>
      </c>
      <c r="K204" t="str">
        <f>TEXT(Tabela1[[#This Row],[Data]],"aaaa-mm")</f>
        <v>2023-08</v>
      </c>
    </row>
    <row r="205" spans="1:11">
      <c r="A205" s="1">
        <v>45150</v>
      </c>
      <c r="B205" t="s">
        <v>69</v>
      </c>
      <c r="C205" t="s">
        <v>7</v>
      </c>
      <c r="D205" t="s">
        <v>66</v>
      </c>
      <c r="E205">
        <v>2</v>
      </c>
      <c r="F205">
        <v>184.25</v>
      </c>
      <c r="G205" t="s">
        <v>11</v>
      </c>
      <c r="H205" t="s">
        <v>71</v>
      </c>
      <c r="I205">
        <v>368.5</v>
      </c>
      <c r="J205">
        <f>Tabela1[[#This Row],[Valor Total]]/Tabela1[[#This Row],[Quantidade]]</f>
        <v>184.25</v>
      </c>
      <c r="K205" t="str">
        <f>TEXT(Tabela1[[#This Row],[Data]],"aaaa-mm")</f>
        <v>2023-08</v>
      </c>
    </row>
    <row r="206" spans="1:11">
      <c r="A206" s="1">
        <v>45151</v>
      </c>
      <c r="B206" t="s">
        <v>61</v>
      </c>
      <c r="C206" t="s">
        <v>7</v>
      </c>
      <c r="D206" t="s">
        <v>66</v>
      </c>
      <c r="E206">
        <v>7</v>
      </c>
      <c r="F206">
        <v>288.58</v>
      </c>
      <c r="G206" t="s">
        <v>15</v>
      </c>
      <c r="H206" t="s">
        <v>64</v>
      </c>
      <c r="I206">
        <v>2020.06</v>
      </c>
      <c r="J206">
        <f>Tabela1[[#This Row],[Valor Total]]/Tabela1[[#This Row],[Quantidade]]</f>
        <v>288.58</v>
      </c>
      <c r="K206" t="str">
        <f>TEXT(Tabela1[[#This Row],[Data]],"aaaa-mm")</f>
        <v>2023-08</v>
      </c>
    </row>
    <row r="207" spans="1:11">
      <c r="A207" s="1">
        <v>45152</v>
      </c>
      <c r="B207" t="s">
        <v>61</v>
      </c>
      <c r="C207" t="s">
        <v>7</v>
      </c>
      <c r="D207" t="s">
        <v>62</v>
      </c>
      <c r="E207">
        <v>5</v>
      </c>
      <c r="F207">
        <v>57.77</v>
      </c>
      <c r="G207" t="s">
        <v>12</v>
      </c>
      <c r="H207" t="s">
        <v>71</v>
      </c>
      <c r="I207">
        <v>288.85000000000002</v>
      </c>
      <c r="J207">
        <f>Tabela1[[#This Row],[Valor Total]]/Tabela1[[#This Row],[Quantidade]]</f>
        <v>57.77</v>
      </c>
      <c r="K207" t="str">
        <f>TEXT(Tabela1[[#This Row],[Data]],"aaaa-mm")</f>
        <v>2023-08</v>
      </c>
    </row>
    <row r="208" spans="1:11">
      <c r="A208" s="1">
        <v>45153</v>
      </c>
      <c r="B208" t="s">
        <v>69</v>
      </c>
      <c r="C208" t="s">
        <v>6</v>
      </c>
      <c r="D208" t="s">
        <v>70</v>
      </c>
      <c r="E208">
        <v>8</v>
      </c>
      <c r="F208">
        <v>270.55</v>
      </c>
      <c r="G208" t="s">
        <v>15</v>
      </c>
      <c r="H208" t="s">
        <v>63</v>
      </c>
      <c r="I208">
        <v>2164.4</v>
      </c>
      <c r="J208">
        <f>Tabela1[[#This Row],[Valor Total]]/Tabela1[[#This Row],[Quantidade]]</f>
        <v>270.55</v>
      </c>
      <c r="K208" t="str">
        <f>TEXT(Tabela1[[#This Row],[Data]],"aaaa-mm")</f>
        <v>2023-08</v>
      </c>
    </row>
    <row r="209" spans="1:11">
      <c r="A209" s="1">
        <v>45154</v>
      </c>
      <c r="B209" t="s">
        <v>61</v>
      </c>
      <c r="C209" t="s">
        <v>5</v>
      </c>
      <c r="D209" t="s">
        <v>73</v>
      </c>
      <c r="E209">
        <v>2</v>
      </c>
      <c r="F209">
        <v>60.33</v>
      </c>
      <c r="G209" t="s">
        <v>15</v>
      </c>
      <c r="H209" t="s">
        <v>67</v>
      </c>
      <c r="I209">
        <v>120.66</v>
      </c>
      <c r="J209">
        <f>Tabela1[[#This Row],[Valor Total]]/Tabela1[[#This Row],[Quantidade]]</f>
        <v>60.33</v>
      </c>
      <c r="K209" t="str">
        <f>TEXT(Tabela1[[#This Row],[Data]],"aaaa-mm")</f>
        <v>2023-08</v>
      </c>
    </row>
    <row r="210" spans="1:11">
      <c r="A210" s="1">
        <v>45156</v>
      </c>
      <c r="B210" t="s">
        <v>69</v>
      </c>
      <c r="C210" t="s">
        <v>4</v>
      </c>
      <c r="D210" t="s">
        <v>65</v>
      </c>
      <c r="E210">
        <v>5</v>
      </c>
      <c r="F210">
        <v>337.48</v>
      </c>
      <c r="G210" t="s">
        <v>12</v>
      </c>
      <c r="H210" t="s">
        <v>64</v>
      </c>
      <c r="I210">
        <v>1687.4</v>
      </c>
      <c r="J210">
        <f>Tabela1[[#This Row],[Valor Total]]/Tabela1[[#This Row],[Quantidade]]</f>
        <v>337.48</v>
      </c>
      <c r="K210" t="str">
        <f>TEXT(Tabela1[[#This Row],[Data]],"aaaa-mm")</f>
        <v>2023-08</v>
      </c>
    </row>
    <row r="211" spans="1:11">
      <c r="A211" s="1">
        <v>45157</v>
      </c>
      <c r="B211" t="s">
        <v>68</v>
      </c>
      <c r="C211" t="s">
        <v>6</v>
      </c>
      <c r="D211" t="s">
        <v>73</v>
      </c>
      <c r="E211">
        <v>5</v>
      </c>
      <c r="F211">
        <v>126.83</v>
      </c>
      <c r="G211" t="s">
        <v>13</v>
      </c>
      <c r="H211" t="s">
        <v>63</v>
      </c>
      <c r="I211">
        <v>634.15</v>
      </c>
      <c r="J211">
        <f>Tabela1[[#This Row],[Valor Total]]/Tabela1[[#This Row],[Quantidade]]</f>
        <v>126.83</v>
      </c>
      <c r="K211" t="str">
        <f>TEXT(Tabela1[[#This Row],[Data]],"aaaa-mm")</f>
        <v>2023-08</v>
      </c>
    </row>
    <row r="212" spans="1:11">
      <c r="A212" s="1">
        <v>45158</v>
      </c>
      <c r="B212" t="s">
        <v>61</v>
      </c>
      <c r="C212" t="s">
        <v>5</v>
      </c>
      <c r="D212" t="s">
        <v>70</v>
      </c>
      <c r="E212">
        <v>5</v>
      </c>
      <c r="F212">
        <v>422.06</v>
      </c>
      <c r="G212" t="s">
        <v>15</v>
      </c>
      <c r="H212" t="s">
        <v>71</v>
      </c>
      <c r="I212">
        <v>2110.3000000000002</v>
      </c>
      <c r="J212">
        <f>Tabela1[[#This Row],[Valor Total]]/Tabela1[[#This Row],[Quantidade]]</f>
        <v>422.06000000000006</v>
      </c>
      <c r="K212" t="str">
        <f>TEXT(Tabela1[[#This Row],[Data]],"aaaa-mm")</f>
        <v>2023-08</v>
      </c>
    </row>
    <row r="213" spans="1:11">
      <c r="A213" s="1">
        <v>45159</v>
      </c>
      <c r="B213" t="s">
        <v>69</v>
      </c>
      <c r="C213" t="s">
        <v>5</v>
      </c>
      <c r="D213" t="s">
        <v>73</v>
      </c>
      <c r="E213">
        <v>8</v>
      </c>
      <c r="F213">
        <v>360.75</v>
      </c>
      <c r="G213" t="s">
        <v>12</v>
      </c>
      <c r="H213" t="s">
        <v>64</v>
      </c>
      <c r="I213">
        <v>2886</v>
      </c>
      <c r="J213">
        <f>Tabela1[[#This Row],[Valor Total]]/Tabela1[[#This Row],[Quantidade]]</f>
        <v>360.75</v>
      </c>
      <c r="K213" t="str">
        <f>TEXT(Tabela1[[#This Row],[Data]],"aaaa-mm")</f>
        <v>2023-08</v>
      </c>
    </row>
    <row r="214" spans="1:11">
      <c r="A214" s="1">
        <v>45160</v>
      </c>
      <c r="B214" t="s">
        <v>68</v>
      </c>
      <c r="C214" t="s">
        <v>5</v>
      </c>
      <c r="D214" t="s">
        <v>70</v>
      </c>
      <c r="E214">
        <v>6</v>
      </c>
      <c r="F214">
        <v>274.51</v>
      </c>
      <c r="G214" t="s">
        <v>12</v>
      </c>
      <c r="H214" t="s">
        <v>67</v>
      </c>
      <c r="I214">
        <v>1647.06</v>
      </c>
      <c r="J214">
        <f>Tabela1[[#This Row],[Valor Total]]/Tabela1[[#This Row],[Quantidade]]</f>
        <v>274.51</v>
      </c>
      <c r="K214" t="str">
        <f>TEXT(Tabela1[[#This Row],[Data]],"aaaa-mm")</f>
        <v>2023-08</v>
      </c>
    </row>
    <row r="215" spans="1:11">
      <c r="A215" s="1">
        <v>45161</v>
      </c>
      <c r="B215" t="s">
        <v>72</v>
      </c>
      <c r="C215" t="s">
        <v>8</v>
      </c>
      <c r="D215" t="s">
        <v>62</v>
      </c>
      <c r="E215">
        <v>4</v>
      </c>
      <c r="F215">
        <v>480.71</v>
      </c>
      <c r="G215" t="s">
        <v>12</v>
      </c>
      <c r="H215" t="s">
        <v>64</v>
      </c>
      <c r="I215">
        <v>1922.84</v>
      </c>
      <c r="J215">
        <f>Tabela1[[#This Row],[Valor Total]]/Tabela1[[#This Row],[Quantidade]]</f>
        <v>480.71</v>
      </c>
      <c r="K215" t="str">
        <f>TEXT(Tabela1[[#This Row],[Data]],"aaaa-mm")</f>
        <v>2023-08</v>
      </c>
    </row>
    <row r="216" spans="1:11">
      <c r="A216" s="1">
        <v>45162</v>
      </c>
      <c r="B216" t="s">
        <v>69</v>
      </c>
      <c r="C216" t="s">
        <v>5</v>
      </c>
      <c r="D216" t="s">
        <v>62</v>
      </c>
      <c r="E216">
        <v>3</v>
      </c>
      <c r="F216">
        <v>327.77</v>
      </c>
      <c r="G216" t="s">
        <v>13</v>
      </c>
      <c r="H216" t="s">
        <v>71</v>
      </c>
      <c r="I216">
        <v>983.31</v>
      </c>
      <c r="J216">
        <f>Tabela1[[#This Row],[Valor Total]]/Tabela1[[#This Row],[Quantidade]]</f>
        <v>327.77</v>
      </c>
      <c r="K216" t="str">
        <f>TEXT(Tabela1[[#This Row],[Data]],"aaaa-mm")</f>
        <v>2023-08</v>
      </c>
    </row>
    <row r="217" spans="1:11">
      <c r="A217" s="1">
        <v>45163</v>
      </c>
      <c r="B217" t="s">
        <v>74</v>
      </c>
      <c r="C217" t="s">
        <v>8</v>
      </c>
      <c r="D217" t="s">
        <v>70</v>
      </c>
      <c r="E217">
        <v>3</v>
      </c>
      <c r="F217">
        <v>233.76</v>
      </c>
      <c r="G217" t="s">
        <v>14</v>
      </c>
      <c r="H217" t="s">
        <v>71</v>
      </c>
      <c r="I217">
        <v>701.28</v>
      </c>
      <c r="J217">
        <f>Tabela1[[#This Row],[Valor Total]]/Tabela1[[#This Row],[Quantidade]]</f>
        <v>233.76</v>
      </c>
      <c r="K217" t="str">
        <f>TEXT(Tabela1[[#This Row],[Data]],"aaaa-mm")</f>
        <v>2023-08</v>
      </c>
    </row>
    <row r="218" spans="1:11">
      <c r="A218" s="1">
        <v>45164</v>
      </c>
      <c r="B218" t="s">
        <v>74</v>
      </c>
      <c r="C218" t="s">
        <v>4</v>
      </c>
      <c r="D218" t="s">
        <v>62</v>
      </c>
      <c r="E218">
        <v>6</v>
      </c>
      <c r="F218">
        <v>188.92</v>
      </c>
      <c r="G218" t="s">
        <v>15</v>
      </c>
      <c r="H218" t="s">
        <v>67</v>
      </c>
      <c r="I218">
        <v>1133.52</v>
      </c>
      <c r="J218">
        <f>Tabela1[[#This Row],[Valor Total]]/Tabela1[[#This Row],[Quantidade]]</f>
        <v>188.92</v>
      </c>
      <c r="K218" t="str">
        <f>TEXT(Tabela1[[#This Row],[Data]],"aaaa-mm")</f>
        <v>2023-08</v>
      </c>
    </row>
    <row r="219" spans="1:11">
      <c r="A219" s="1">
        <v>45165</v>
      </c>
      <c r="B219" t="s">
        <v>72</v>
      </c>
      <c r="C219" t="s">
        <v>7</v>
      </c>
      <c r="D219" t="s">
        <v>73</v>
      </c>
      <c r="E219">
        <v>5</v>
      </c>
      <c r="F219">
        <v>459.34</v>
      </c>
      <c r="G219" t="s">
        <v>12</v>
      </c>
      <c r="H219" t="s">
        <v>64</v>
      </c>
      <c r="I219">
        <v>2296.6999999999998</v>
      </c>
      <c r="J219">
        <f>Tabela1[[#This Row],[Valor Total]]/Tabela1[[#This Row],[Quantidade]]</f>
        <v>459.34</v>
      </c>
      <c r="K219" t="str">
        <f>TEXT(Tabela1[[#This Row],[Data]],"aaaa-mm")</f>
        <v>2023-08</v>
      </c>
    </row>
    <row r="220" spans="1:11">
      <c r="A220" s="1">
        <v>45167</v>
      </c>
      <c r="B220" t="s">
        <v>72</v>
      </c>
      <c r="C220" t="s">
        <v>4</v>
      </c>
      <c r="D220" t="s">
        <v>70</v>
      </c>
      <c r="E220">
        <v>7</v>
      </c>
      <c r="F220">
        <v>50.82</v>
      </c>
      <c r="G220" t="s">
        <v>14</v>
      </c>
      <c r="H220" t="s">
        <v>67</v>
      </c>
      <c r="I220">
        <v>355.74</v>
      </c>
      <c r="J220">
        <f>Tabela1[[#This Row],[Valor Total]]/Tabela1[[#This Row],[Quantidade]]</f>
        <v>50.82</v>
      </c>
      <c r="K220" t="str">
        <f>TEXT(Tabela1[[#This Row],[Data]],"aaaa-mm")</f>
        <v>2023-08</v>
      </c>
    </row>
    <row r="221" spans="1:11">
      <c r="A221" s="1">
        <v>45168</v>
      </c>
      <c r="B221" t="s">
        <v>74</v>
      </c>
      <c r="C221" t="s">
        <v>4</v>
      </c>
      <c r="D221" t="s">
        <v>62</v>
      </c>
      <c r="E221">
        <v>3</v>
      </c>
      <c r="F221">
        <v>363.62</v>
      </c>
      <c r="G221" t="s">
        <v>12</v>
      </c>
      <c r="H221" t="s">
        <v>63</v>
      </c>
      <c r="I221">
        <v>1090.8599999999999</v>
      </c>
      <c r="J221">
        <f>Tabela1[[#This Row],[Valor Total]]/Tabela1[[#This Row],[Quantidade]]</f>
        <v>363.61999999999995</v>
      </c>
      <c r="K221" t="str">
        <f>TEXT(Tabela1[[#This Row],[Data]],"aaaa-mm")</f>
        <v>2023-08</v>
      </c>
    </row>
    <row r="222" spans="1:11">
      <c r="A222" s="1">
        <v>45169</v>
      </c>
      <c r="B222" t="s">
        <v>61</v>
      </c>
      <c r="C222" t="s">
        <v>5</v>
      </c>
      <c r="D222" t="s">
        <v>70</v>
      </c>
      <c r="E222">
        <v>1</v>
      </c>
      <c r="F222">
        <v>427.81</v>
      </c>
      <c r="G222" t="s">
        <v>12</v>
      </c>
      <c r="H222" t="s">
        <v>64</v>
      </c>
      <c r="I222">
        <v>427.81</v>
      </c>
      <c r="J222">
        <f>Tabela1[[#This Row],[Valor Total]]/Tabela1[[#This Row],[Quantidade]]</f>
        <v>427.81</v>
      </c>
      <c r="K222" t="str">
        <f>TEXT(Tabela1[[#This Row],[Data]],"aaaa-mm")</f>
        <v>2023-08</v>
      </c>
    </row>
    <row r="223" spans="1:11">
      <c r="A223" s="1">
        <v>45170</v>
      </c>
      <c r="B223" t="s">
        <v>72</v>
      </c>
      <c r="C223" t="s">
        <v>8</v>
      </c>
      <c r="D223" t="s">
        <v>66</v>
      </c>
      <c r="E223">
        <v>3</v>
      </c>
      <c r="F223">
        <v>403.07</v>
      </c>
      <c r="G223" t="s">
        <v>13</v>
      </c>
      <c r="H223" t="s">
        <v>64</v>
      </c>
      <c r="I223">
        <v>1209.21</v>
      </c>
      <c r="J223">
        <f>Tabela1[[#This Row],[Valor Total]]/Tabela1[[#This Row],[Quantidade]]</f>
        <v>403.07</v>
      </c>
      <c r="K223" t="str">
        <f>TEXT(Tabela1[[#This Row],[Data]],"aaaa-mm")</f>
        <v>2023-09</v>
      </c>
    </row>
    <row r="224" spans="1:11">
      <c r="A224" s="1">
        <v>45171</v>
      </c>
      <c r="B224" t="s">
        <v>69</v>
      </c>
      <c r="C224" t="s">
        <v>6</v>
      </c>
      <c r="D224" t="s">
        <v>73</v>
      </c>
      <c r="E224">
        <v>7</v>
      </c>
      <c r="F224">
        <v>323.3</v>
      </c>
      <c r="G224" t="s">
        <v>15</v>
      </c>
      <c r="H224" t="s">
        <v>64</v>
      </c>
      <c r="I224">
        <v>2263.1</v>
      </c>
      <c r="J224">
        <f>Tabela1[[#This Row],[Valor Total]]/Tabela1[[#This Row],[Quantidade]]</f>
        <v>323.3</v>
      </c>
      <c r="K224" t="str">
        <f>TEXT(Tabela1[[#This Row],[Data]],"aaaa-mm")</f>
        <v>2023-09</v>
      </c>
    </row>
    <row r="225" spans="1:11">
      <c r="A225" s="1">
        <v>45172</v>
      </c>
      <c r="B225" t="s">
        <v>61</v>
      </c>
      <c r="C225" t="s">
        <v>4</v>
      </c>
      <c r="D225" t="s">
        <v>66</v>
      </c>
      <c r="E225">
        <v>9</v>
      </c>
      <c r="F225">
        <v>403.07</v>
      </c>
      <c r="G225" t="s">
        <v>11</v>
      </c>
      <c r="H225" t="s">
        <v>71</v>
      </c>
      <c r="I225">
        <v>3627.63</v>
      </c>
      <c r="J225">
        <f>Tabela1[[#This Row],[Valor Total]]/Tabela1[[#This Row],[Quantidade]]</f>
        <v>403.07</v>
      </c>
      <c r="K225" t="str">
        <f>TEXT(Tabela1[[#This Row],[Data]],"aaaa-mm")</f>
        <v>2023-09</v>
      </c>
    </row>
    <row r="226" spans="1:11">
      <c r="A226" s="1">
        <v>45173</v>
      </c>
      <c r="B226" t="s">
        <v>61</v>
      </c>
      <c r="C226" t="s">
        <v>7</v>
      </c>
      <c r="D226" t="s">
        <v>65</v>
      </c>
      <c r="E226">
        <v>5</v>
      </c>
      <c r="F226">
        <v>167.27</v>
      </c>
      <c r="G226" t="s">
        <v>15</v>
      </c>
      <c r="H226" t="s">
        <v>63</v>
      </c>
      <c r="I226">
        <v>836.35</v>
      </c>
      <c r="J226">
        <f>Tabela1[[#This Row],[Valor Total]]/Tabela1[[#This Row],[Quantidade]]</f>
        <v>167.27</v>
      </c>
      <c r="K226" t="str">
        <f>TEXT(Tabela1[[#This Row],[Data]],"aaaa-mm")</f>
        <v>2023-09</v>
      </c>
    </row>
    <row r="227" spans="1:11">
      <c r="A227" s="1">
        <v>45174</v>
      </c>
      <c r="B227" t="s">
        <v>74</v>
      </c>
      <c r="C227" t="s">
        <v>4</v>
      </c>
      <c r="D227" t="s">
        <v>65</v>
      </c>
      <c r="E227">
        <v>7</v>
      </c>
      <c r="F227">
        <v>414.08</v>
      </c>
      <c r="G227" t="s">
        <v>13</v>
      </c>
      <c r="H227" t="s">
        <v>63</v>
      </c>
      <c r="I227">
        <v>2898.56</v>
      </c>
      <c r="J227">
        <f>Tabela1[[#This Row],[Valor Total]]/Tabela1[[#This Row],[Quantidade]]</f>
        <v>414.08</v>
      </c>
      <c r="K227" t="str">
        <f>TEXT(Tabela1[[#This Row],[Data]],"aaaa-mm")</f>
        <v>2023-09</v>
      </c>
    </row>
    <row r="228" spans="1:11">
      <c r="A228" s="1">
        <v>45175</v>
      </c>
      <c r="B228" t="s">
        <v>61</v>
      </c>
      <c r="C228" t="s">
        <v>8</v>
      </c>
      <c r="D228" t="s">
        <v>73</v>
      </c>
      <c r="E228">
        <v>7</v>
      </c>
      <c r="F228">
        <v>127.61</v>
      </c>
      <c r="G228" t="s">
        <v>15</v>
      </c>
      <c r="H228" t="s">
        <v>67</v>
      </c>
      <c r="I228">
        <v>893.27</v>
      </c>
      <c r="J228">
        <f>Tabela1[[#This Row],[Valor Total]]/Tabela1[[#This Row],[Quantidade]]</f>
        <v>127.61</v>
      </c>
      <c r="K228" t="str">
        <f>TEXT(Tabela1[[#This Row],[Data]],"aaaa-mm")</f>
        <v>2023-09</v>
      </c>
    </row>
    <row r="229" spans="1:11">
      <c r="A229" s="1">
        <v>45176</v>
      </c>
      <c r="B229" t="s">
        <v>68</v>
      </c>
      <c r="C229" t="s">
        <v>6</v>
      </c>
      <c r="D229" t="s">
        <v>70</v>
      </c>
      <c r="E229">
        <v>8</v>
      </c>
      <c r="F229">
        <v>377.42</v>
      </c>
      <c r="G229" t="s">
        <v>14</v>
      </c>
      <c r="H229" t="s">
        <v>67</v>
      </c>
      <c r="I229">
        <v>3019.36</v>
      </c>
      <c r="J229">
        <f>Tabela1[[#This Row],[Valor Total]]/Tabela1[[#This Row],[Quantidade]]</f>
        <v>377.42</v>
      </c>
      <c r="K229" t="str">
        <f>TEXT(Tabela1[[#This Row],[Data]],"aaaa-mm")</f>
        <v>2023-09</v>
      </c>
    </row>
    <row r="230" spans="1:11">
      <c r="A230" s="1">
        <v>45178</v>
      </c>
      <c r="B230" t="s">
        <v>61</v>
      </c>
      <c r="C230" t="s">
        <v>6</v>
      </c>
      <c r="D230" t="s">
        <v>70</v>
      </c>
      <c r="E230">
        <v>5</v>
      </c>
      <c r="F230">
        <v>257.97000000000003</v>
      </c>
      <c r="G230" t="s">
        <v>11</v>
      </c>
      <c r="H230" t="s">
        <v>67</v>
      </c>
      <c r="I230">
        <v>1289.8499999999999</v>
      </c>
      <c r="J230">
        <f>Tabela1[[#This Row],[Valor Total]]/Tabela1[[#This Row],[Quantidade]]</f>
        <v>257.96999999999997</v>
      </c>
      <c r="K230" t="str">
        <f>TEXT(Tabela1[[#This Row],[Data]],"aaaa-mm")</f>
        <v>2023-09</v>
      </c>
    </row>
    <row r="231" spans="1:11">
      <c r="A231" s="1">
        <v>45179</v>
      </c>
      <c r="B231" t="s">
        <v>61</v>
      </c>
      <c r="C231" t="s">
        <v>5</v>
      </c>
      <c r="D231" t="s">
        <v>73</v>
      </c>
      <c r="E231">
        <v>2</v>
      </c>
      <c r="F231">
        <v>303.55</v>
      </c>
      <c r="G231" t="s">
        <v>14</v>
      </c>
      <c r="H231" t="s">
        <v>67</v>
      </c>
      <c r="I231">
        <v>607.1</v>
      </c>
      <c r="J231">
        <f>Tabela1[[#This Row],[Valor Total]]/Tabela1[[#This Row],[Quantidade]]</f>
        <v>303.55</v>
      </c>
      <c r="K231" t="str">
        <f>TEXT(Tabela1[[#This Row],[Data]],"aaaa-mm")</f>
        <v>2023-09</v>
      </c>
    </row>
    <row r="232" spans="1:11">
      <c r="A232" s="1">
        <v>45180</v>
      </c>
      <c r="B232" t="s">
        <v>68</v>
      </c>
      <c r="C232" t="s">
        <v>4</v>
      </c>
      <c r="D232" t="s">
        <v>62</v>
      </c>
      <c r="E232">
        <v>9</v>
      </c>
      <c r="F232">
        <v>254.74</v>
      </c>
      <c r="G232" t="s">
        <v>11</v>
      </c>
      <c r="H232" t="s">
        <v>64</v>
      </c>
      <c r="I232">
        <v>2292.66</v>
      </c>
      <c r="J232">
        <f>Tabela1[[#This Row],[Valor Total]]/Tabela1[[#This Row],[Quantidade]]</f>
        <v>254.73999999999998</v>
      </c>
      <c r="K232" t="str">
        <f>TEXT(Tabela1[[#This Row],[Data]],"aaaa-mm")</f>
        <v>2023-09</v>
      </c>
    </row>
    <row r="233" spans="1:11">
      <c r="A233" s="1">
        <v>45181</v>
      </c>
      <c r="B233" t="s">
        <v>61</v>
      </c>
      <c r="C233" t="s">
        <v>5</v>
      </c>
      <c r="D233" t="s">
        <v>65</v>
      </c>
      <c r="E233">
        <v>9</v>
      </c>
      <c r="F233">
        <v>245.63</v>
      </c>
      <c r="G233" t="s">
        <v>13</v>
      </c>
      <c r="H233" t="s">
        <v>67</v>
      </c>
      <c r="I233">
        <v>2210.67</v>
      </c>
      <c r="J233">
        <f>Tabela1[[#This Row],[Valor Total]]/Tabela1[[#This Row],[Quantidade]]</f>
        <v>245.63</v>
      </c>
      <c r="K233" t="str">
        <f>TEXT(Tabela1[[#This Row],[Data]],"aaaa-mm")</f>
        <v>2023-09</v>
      </c>
    </row>
    <row r="234" spans="1:11">
      <c r="A234" s="1">
        <v>45182</v>
      </c>
      <c r="B234" t="s">
        <v>61</v>
      </c>
      <c r="C234" t="s">
        <v>6</v>
      </c>
      <c r="D234" t="s">
        <v>73</v>
      </c>
      <c r="E234">
        <v>9</v>
      </c>
      <c r="F234">
        <v>315.16000000000003</v>
      </c>
      <c r="G234" t="s">
        <v>13</v>
      </c>
      <c r="H234" t="s">
        <v>71</v>
      </c>
      <c r="I234">
        <v>2836.44</v>
      </c>
      <c r="J234">
        <f>Tabela1[[#This Row],[Valor Total]]/Tabela1[[#This Row],[Quantidade]]</f>
        <v>315.16000000000003</v>
      </c>
      <c r="K234" t="str">
        <f>TEXT(Tabela1[[#This Row],[Data]],"aaaa-mm")</f>
        <v>2023-09</v>
      </c>
    </row>
    <row r="235" spans="1:11">
      <c r="A235" s="1">
        <v>45183</v>
      </c>
      <c r="B235" t="s">
        <v>69</v>
      </c>
      <c r="C235" t="s">
        <v>8</v>
      </c>
      <c r="D235" t="s">
        <v>66</v>
      </c>
      <c r="E235">
        <v>9</v>
      </c>
      <c r="F235">
        <v>203.76</v>
      </c>
      <c r="G235" t="s">
        <v>11</v>
      </c>
      <c r="H235" t="s">
        <v>71</v>
      </c>
      <c r="I235">
        <v>1833.84</v>
      </c>
      <c r="J235">
        <f>Tabela1[[#This Row],[Valor Total]]/Tabela1[[#This Row],[Quantidade]]</f>
        <v>203.76</v>
      </c>
      <c r="K235" t="str">
        <f>TEXT(Tabela1[[#This Row],[Data]],"aaaa-mm")</f>
        <v>2023-09</v>
      </c>
    </row>
    <row r="236" spans="1:11">
      <c r="A236" s="1">
        <v>45184</v>
      </c>
      <c r="B236" t="s">
        <v>61</v>
      </c>
      <c r="C236" t="s">
        <v>5</v>
      </c>
      <c r="D236" t="s">
        <v>65</v>
      </c>
      <c r="E236">
        <v>8</v>
      </c>
      <c r="F236">
        <v>237.05</v>
      </c>
      <c r="G236" t="s">
        <v>11</v>
      </c>
      <c r="H236" t="s">
        <v>71</v>
      </c>
      <c r="I236">
        <v>1896.4</v>
      </c>
      <c r="J236">
        <f>Tabela1[[#This Row],[Valor Total]]/Tabela1[[#This Row],[Quantidade]]</f>
        <v>237.05</v>
      </c>
      <c r="K236" t="str">
        <f>TEXT(Tabela1[[#This Row],[Data]],"aaaa-mm")</f>
        <v>2023-09</v>
      </c>
    </row>
    <row r="237" spans="1:11">
      <c r="A237" s="1">
        <v>45185</v>
      </c>
      <c r="B237" t="s">
        <v>72</v>
      </c>
      <c r="C237" t="s">
        <v>4</v>
      </c>
      <c r="D237" t="s">
        <v>73</v>
      </c>
      <c r="E237">
        <v>4</v>
      </c>
      <c r="F237">
        <v>210.55</v>
      </c>
      <c r="G237" t="s">
        <v>15</v>
      </c>
      <c r="H237" t="s">
        <v>64</v>
      </c>
      <c r="I237">
        <v>842.2</v>
      </c>
      <c r="J237">
        <f>Tabela1[[#This Row],[Valor Total]]/Tabela1[[#This Row],[Quantidade]]</f>
        <v>210.55</v>
      </c>
      <c r="K237" t="str">
        <f>TEXT(Tabela1[[#This Row],[Data]],"aaaa-mm")</f>
        <v>2023-09</v>
      </c>
    </row>
    <row r="238" spans="1:11">
      <c r="A238" s="1">
        <v>45186</v>
      </c>
      <c r="B238" t="s">
        <v>72</v>
      </c>
      <c r="C238" t="s">
        <v>7</v>
      </c>
      <c r="D238" t="s">
        <v>62</v>
      </c>
      <c r="E238">
        <v>3</v>
      </c>
      <c r="F238">
        <v>243.85</v>
      </c>
      <c r="G238" t="s">
        <v>11</v>
      </c>
      <c r="H238" t="s">
        <v>64</v>
      </c>
      <c r="I238">
        <v>731.55</v>
      </c>
      <c r="J238">
        <f>Tabela1[[#This Row],[Valor Total]]/Tabela1[[#This Row],[Quantidade]]</f>
        <v>243.85</v>
      </c>
      <c r="K238" t="str">
        <f>TEXT(Tabela1[[#This Row],[Data]],"aaaa-mm")</f>
        <v>2023-09</v>
      </c>
    </row>
    <row r="239" spans="1:11">
      <c r="A239" s="1">
        <v>45187</v>
      </c>
      <c r="B239" t="s">
        <v>69</v>
      </c>
      <c r="C239" t="s">
        <v>5</v>
      </c>
      <c r="D239" t="s">
        <v>70</v>
      </c>
      <c r="E239">
        <v>6</v>
      </c>
      <c r="F239">
        <v>211.16</v>
      </c>
      <c r="G239" t="s">
        <v>15</v>
      </c>
      <c r="H239" t="s">
        <v>71</v>
      </c>
      <c r="I239">
        <v>1266.96</v>
      </c>
      <c r="J239">
        <f>Tabela1[[#This Row],[Valor Total]]/Tabela1[[#This Row],[Quantidade]]</f>
        <v>211.16</v>
      </c>
      <c r="K239" t="str">
        <f>TEXT(Tabela1[[#This Row],[Data]],"aaaa-mm")</f>
        <v>2023-09</v>
      </c>
    </row>
    <row r="240" spans="1:11">
      <c r="A240" s="1">
        <v>45188</v>
      </c>
      <c r="B240" t="s">
        <v>68</v>
      </c>
      <c r="C240" t="s">
        <v>7</v>
      </c>
      <c r="D240" t="s">
        <v>73</v>
      </c>
      <c r="E240">
        <v>4</v>
      </c>
      <c r="F240">
        <v>135.71</v>
      </c>
      <c r="G240" t="s">
        <v>13</v>
      </c>
      <c r="H240" t="s">
        <v>71</v>
      </c>
      <c r="I240">
        <v>542.84</v>
      </c>
      <c r="J240">
        <f>Tabela1[[#This Row],[Valor Total]]/Tabela1[[#This Row],[Quantidade]]</f>
        <v>135.71</v>
      </c>
      <c r="K240" t="str">
        <f>TEXT(Tabela1[[#This Row],[Data]],"aaaa-mm")</f>
        <v>2023-09</v>
      </c>
    </row>
    <row r="241" spans="1:11">
      <c r="A241" s="1">
        <v>45190</v>
      </c>
      <c r="B241" t="s">
        <v>68</v>
      </c>
      <c r="C241" t="s">
        <v>4</v>
      </c>
      <c r="D241" t="s">
        <v>66</v>
      </c>
      <c r="E241">
        <v>4</v>
      </c>
      <c r="F241">
        <v>374.47</v>
      </c>
      <c r="G241" t="s">
        <v>15</v>
      </c>
      <c r="H241" t="s">
        <v>71</v>
      </c>
      <c r="I241">
        <v>1497.88</v>
      </c>
      <c r="J241">
        <f>Tabela1[[#This Row],[Valor Total]]/Tabela1[[#This Row],[Quantidade]]</f>
        <v>374.47</v>
      </c>
      <c r="K241" t="str">
        <f>TEXT(Tabela1[[#This Row],[Data]],"aaaa-mm")</f>
        <v>2023-09</v>
      </c>
    </row>
    <row r="242" spans="1:11">
      <c r="A242" s="1">
        <v>45191</v>
      </c>
      <c r="B242" t="s">
        <v>72</v>
      </c>
      <c r="C242" t="s">
        <v>6</v>
      </c>
      <c r="D242" t="s">
        <v>70</v>
      </c>
      <c r="E242">
        <v>3</v>
      </c>
      <c r="F242">
        <v>244.62</v>
      </c>
      <c r="G242" t="s">
        <v>15</v>
      </c>
      <c r="H242" t="s">
        <v>71</v>
      </c>
      <c r="I242">
        <v>733.86</v>
      </c>
      <c r="J242">
        <f>Tabela1[[#This Row],[Valor Total]]/Tabela1[[#This Row],[Quantidade]]</f>
        <v>244.62</v>
      </c>
      <c r="K242" t="str">
        <f>TEXT(Tabela1[[#This Row],[Data]],"aaaa-mm")</f>
        <v>2023-09</v>
      </c>
    </row>
    <row r="243" spans="1:11">
      <c r="A243" s="1">
        <v>45192</v>
      </c>
      <c r="B243" t="s">
        <v>72</v>
      </c>
      <c r="C243" t="s">
        <v>5</v>
      </c>
      <c r="D243" t="s">
        <v>70</v>
      </c>
      <c r="E243">
        <v>5</v>
      </c>
      <c r="F243">
        <v>399.43</v>
      </c>
      <c r="G243" t="s">
        <v>12</v>
      </c>
      <c r="H243" t="s">
        <v>64</v>
      </c>
      <c r="I243">
        <v>1997.15</v>
      </c>
      <c r="J243">
        <f>Tabela1[[#This Row],[Valor Total]]/Tabela1[[#This Row],[Quantidade]]</f>
        <v>399.43</v>
      </c>
      <c r="K243" t="str">
        <f>TEXT(Tabela1[[#This Row],[Data]],"aaaa-mm")</f>
        <v>2023-09</v>
      </c>
    </row>
    <row r="244" spans="1:11">
      <c r="A244" s="1">
        <v>45193</v>
      </c>
      <c r="B244" t="s">
        <v>69</v>
      </c>
      <c r="C244" t="s">
        <v>4</v>
      </c>
      <c r="D244" t="s">
        <v>66</v>
      </c>
      <c r="E244">
        <v>4</v>
      </c>
      <c r="F244">
        <v>48.44</v>
      </c>
      <c r="G244" t="s">
        <v>15</v>
      </c>
      <c r="H244" t="s">
        <v>71</v>
      </c>
      <c r="I244">
        <v>193.76</v>
      </c>
      <c r="J244">
        <f>Tabela1[[#This Row],[Valor Total]]/Tabela1[[#This Row],[Quantidade]]</f>
        <v>48.44</v>
      </c>
      <c r="K244" t="str">
        <f>TEXT(Tabela1[[#This Row],[Data]],"aaaa-mm")</f>
        <v>2023-09</v>
      </c>
    </row>
    <row r="245" spans="1:11">
      <c r="A245" s="1">
        <v>45194</v>
      </c>
      <c r="B245" t="s">
        <v>68</v>
      </c>
      <c r="C245" t="s">
        <v>7</v>
      </c>
      <c r="D245" t="s">
        <v>65</v>
      </c>
      <c r="E245">
        <v>4</v>
      </c>
      <c r="F245">
        <v>197.6</v>
      </c>
      <c r="G245" t="s">
        <v>11</v>
      </c>
      <c r="H245" t="s">
        <v>63</v>
      </c>
      <c r="I245">
        <v>790.4</v>
      </c>
      <c r="J245">
        <f>Tabela1[[#This Row],[Valor Total]]/Tabela1[[#This Row],[Quantidade]]</f>
        <v>197.6</v>
      </c>
      <c r="K245" t="str">
        <f>TEXT(Tabela1[[#This Row],[Data]],"aaaa-mm")</f>
        <v>2023-09</v>
      </c>
    </row>
    <row r="246" spans="1:11">
      <c r="A246" s="1">
        <v>45195</v>
      </c>
      <c r="B246" t="s">
        <v>61</v>
      </c>
      <c r="C246" t="s">
        <v>7</v>
      </c>
      <c r="D246" t="s">
        <v>70</v>
      </c>
      <c r="E246">
        <v>2</v>
      </c>
      <c r="F246">
        <v>325.52</v>
      </c>
      <c r="G246" t="s">
        <v>14</v>
      </c>
      <c r="H246" t="s">
        <v>63</v>
      </c>
      <c r="I246">
        <v>651.04</v>
      </c>
      <c r="J246">
        <f>Tabela1[[#This Row],[Valor Total]]/Tabela1[[#This Row],[Quantidade]]</f>
        <v>325.52</v>
      </c>
      <c r="K246" t="str">
        <f>TEXT(Tabela1[[#This Row],[Data]],"aaaa-mm")</f>
        <v>2023-09</v>
      </c>
    </row>
    <row r="247" spans="1:11">
      <c r="A247" s="1">
        <v>45196</v>
      </c>
      <c r="B247" t="s">
        <v>68</v>
      </c>
      <c r="C247" t="s">
        <v>8</v>
      </c>
      <c r="D247" t="s">
        <v>73</v>
      </c>
      <c r="E247">
        <v>4</v>
      </c>
      <c r="F247">
        <v>402.48</v>
      </c>
      <c r="G247" t="s">
        <v>13</v>
      </c>
      <c r="H247" t="s">
        <v>64</v>
      </c>
      <c r="I247">
        <v>1609.92</v>
      </c>
      <c r="J247">
        <f>Tabela1[[#This Row],[Valor Total]]/Tabela1[[#This Row],[Quantidade]]</f>
        <v>402.48</v>
      </c>
      <c r="K247" t="str">
        <f>TEXT(Tabela1[[#This Row],[Data]],"aaaa-mm")</f>
        <v>2023-09</v>
      </c>
    </row>
    <row r="248" spans="1:11">
      <c r="A248" s="1">
        <v>45197</v>
      </c>
      <c r="B248" t="s">
        <v>61</v>
      </c>
      <c r="C248" t="s">
        <v>6</v>
      </c>
      <c r="D248" t="s">
        <v>65</v>
      </c>
      <c r="E248">
        <v>4</v>
      </c>
      <c r="F248">
        <v>314.33999999999997</v>
      </c>
      <c r="G248" t="s">
        <v>11</v>
      </c>
      <c r="H248" t="s">
        <v>63</v>
      </c>
      <c r="I248">
        <v>1257.3599999999999</v>
      </c>
      <c r="J248">
        <f>Tabela1[[#This Row],[Valor Total]]/Tabela1[[#This Row],[Quantidade]]</f>
        <v>314.33999999999997</v>
      </c>
      <c r="K248" t="str">
        <f>TEXT(Tabela1[[#This Row],[Data]],"aaaa-mm")</f>
        <v>2023-09</v>
      </c>
    </row>
    <row r="249" spans="1:11">
      <c r="A249" s="1">
        <v>45198</v>
      </c>
      <c r="B249" t="s">
        <v>68</v>
      </c>
      <c r="C249" t="s">
        <v>8</v>
      </c>
      <c r="D249" t="s">
        <v>73</v>
      </c>
      <c r="E249">
        <v>8</v>
      </c>
      <c r="F249">
        <v>194.38</v>
      </c>
      <c r="G249" t="s">
        <v>14</v>
      </c>
      <c r="H249" t="s">
        <v>71</v>
      </c>
      <c r="I249">
        <v>1555.04</v>
      </c>
      <c r="J249">
        <f>Tabela1[[#This Row],[Valor Total]]/Tabela1[[#This Row],[Quantidade]]</f>
        <v>194.38</v>
      </c>
      <c r="K249" t="str">
        <f>TEXT(Tabela1[[#This Row],[Data]],"aaaa-mm")</f>
        <v>2023-09</v>
      </c>
    </row>
    <row r="250" spans="1:11">
      <c r="A250" s="1">
        <v>45199</v>
      </c>
      <c r="B250" t="s">
        <v>68</v>
      </c>
      <c r="C250" t="s">
        <v>7</v>
      </c>
      <c r="D250" t="s">
        <v>73</v>
      </c>
      <c r="E250">
        <v>9</v>
      </c>
      <c r="F250">
        <v>330.28</v>
      </c>
      <c r="G250" t="s">
        <v>14</v>
      </c>
      <c r="H250" t="s">
        <v>71</v>
      </c>
      <c r="I250">
        <v>2972.52</v>
      </c>
      <c r="J250">
        <f>Tabela1[[#This Row],[Valor Total]]/Tabela1[[#This Row],[Quantidade]]</f>
        <v>330.28</v>
      </c>
      <c r="K250" t="str">
        <f>TEXT(Tabela1[[#This Row],[Data]],"aaaa-mm")</f>
        <v>2023-09</v>
      </c>
    </row>
    <row r="251" spans="1:11">
      <c r="A251" s="1">
        <v>45201</v>
      </c>
      <c r="B251" t="s">
        <v>72</v>
      </c>
      <c r="C251" t="s">
        <v>8</v>
      </c>
      <c r="D251" t="s">
        <v>66</v>
      </c>
      <c r="E251">
        <v>2</v>
      </c>
      <c r="F251">
        <v>153.18</v>
      </c>
      <c r="G251" t="s">
        <v>13</v>
      </c>
      <c r="H251" t="s">
        <v>64</v>
      </c>
      <c r="I251">
        <v>306.36</v>
      </c>
      <c r="J251">
        <f>Tabela1[[#This Row],[Valor Total]]/Tabela1[[#This Row],[Quantidade]]</f>
        <v>153.18</v>
      </c>
      <c r="K251" t="str">
        <f>TEXT(Tabela1[[#This Row],[Data]],"aaaa-mm")</f>
        <v>2023-10</v>
      </c>
    </row>
    <row r="252" spans="1:11">
      <c r="A252" s="1">
        <v>45202</v>
      </c>
      <c r="B252" t="s">
        <v>72</v>
      </c>
      <c r="C252" t="s">
        <v>8</v>
      </c>
      <c r="D252" t="s">
        <v>66</v>
      </c>
      <c r="E252">
        <v>6</v>
      </c>
      <c r="F252">
        <v>335.63</v>
      </c>
      <c r="G252" t="s">
        <v>14</v>
      </c>
      <c r="H252" t="s">
        <v>67</v>
      </c>
      <c r="I252">
        <v>2013.78</v>
      </c>
      <c r="J252">
        <f>Tabela1[[#This Row],[Valor Total]]/Tabela1[[#This Row],[Quantidade]]</f>
        <v>335.63</v>
      </c>
      <c r="K252" t="str">
        <f>TEXT(Tabela1[[#This Row],[Data]],"aaaa-mm")</f>
        <v>2023-10</v>
      </c>
    </row>
    <row r="253" spans="1:11">
      <c r="A253" s="1">
        <v>45203</v>
      </c>
      <c r="B253" t="s">
        <v>69</v>
      </c>
      <c r="C253" t="s">
        <v>5</v>
      </c>
      <c r="D253" t="s">
        <v>73</v>
      </c>
      <c r="E253">
        <v>7</v>
      </c>
      <c r="F253">
        <v>297.47000000000003</v>
      </c>
      <c r="G253" t="s">
        <v>12</v>
      </c>
      <c r="H253" t="s">
        <v>67</v>
      </c>
      <c r="I253">
        <v>2082.29</v>
      </c>
      <c r="J253">
        <f>Tabela1[[#This Row],[Valor Total]]/Tabela1[[#This Row],[Quantidade]]</f>
        <v>297.46999999999997</v>
      </c>
      <c r="K253" t="str">
        <f>TEXT(Tabela1[[#This Row],[Data]],"aaaa-mm")</f>
        <v>2023-10</v>
      </c>
    </row>
    <row r="254" spans="1:11">
      <c r="A254" s="1">
        <v>45204</v>
      </c>
      <c r="B254" t="s">
        <v>72</v>
      </c>
      <c r="C254" t="s">
        <v>5</v>
      </c>
      <c r="D254" t="s">
        <v>66</v>
      </c>
      <c r="E254">
        <v>7</v>
      </c>
      <c r="F254">
        <v>70.099999999999994</v>
      </c>
      <c r="G254" t="s">
        <v>15</v>
      </c>
      <c r="H254" t="s">
        <v>63</v>
      </c>
      <c r="I254">
        <v>490.69999999999987</v>
      </c>
      <c r="J254">
        <f>Tabela1[[#This Row],[Valor Total]]/Tabela1[[#This Row],[Quantidade]]</f>
        <v>70.09999999999998</v>
      </c>
      <c r="K254" t="str">
        <f>TEXT(Tabela1[[#This Row],[Data]],"aaaa-mm")</f>
        <v>2023-10</v>
      </c>
    </row>
    <row r="255" spans="1:11">
      <c r="A255" s="1">
        <v>45205</v>
      </c>
      <c r="B255" t="s">
        <v>69</v>
      </c>
      <c r="C255" t="s">
        <v>5</v>
      </c>
      <c r="D255" t="s">
        <v>66</v>
      </c>
      <c r="E255">
        <v>4</v>
      </c>
      <c r="F255">
        <v>225.82</v>
      </c>
      <c r="G255" t="s">
        <v>14</v>
      </c>
      <c r="H255" t="s">
        <v>71</v>
      </c>
      <c r="I255">
        <v>903.28</v>
      </c>
      <c r="J255">
        <f>Tabela1[[#This Row],[Valor Total]]/Tabela1[[#This Row],[Quantidade]]</f>
        <v>225.82</v>
      </c>
      <c r="K255" t="str">
        <f>TEXT(Tabela1[[#This Row],[Data]],"aaaa-mm")</f>
        <v>2023-10</v>
      </c>
    </row>
    <row r="256" spans="1:11">
      <c r="A256" s="1">
        <v>45206</v>
      </c>
      <c r="B256" t="s">
        <v>69</v>
      </c>
      <c r="C256" t="s">
        <v>7</v>
      </c>
      <c r="D256" t="s">
        <v>66</v>
      </c>
      <c r="E256">
        <v>6</v>
      </c>
      <c r="F256">
        <v>124.48</v>
      </c>
      <c r="G256" t="s">
        <v>12</v>
      </c>
      <c r="H256" t="s">
        <v>63</v>
      </c>
      <c r="I256">
        <v>746.88</v>
      </c>
      <c r="J256">
        <f>Tabela1[[#This Row],[Valor Total]]/Tabela1[[#This Row],[Quantidade]]</f>
        <v>124.48</v>
      </c>
      <c r="K256" t="str">
        <f>TEXT(Tabela1[[#This Row],[Data]],"aaaa-mm")</f>
        <v>2023-10</v>
      </c>
    </row>
    <row r="257" spans="1:11">
      <c r="A257" s="1">
        <v>45207</v>
      </c>
      <c r="B257" t="s">
        <v>68</v>
      </c>
      <c r="C257" t="s">
        <v>4</v>
      </c>
      <c r="D257" t="s">
        <v>66</v>
      </c>
      <c r="E257">
        <v>7</v>
      </c>
      <c r="F257">
        <v>259.79000000000002</v>
      </c>
      <c r="G257" t="s">
        <v>12</v>
      </c>
      <c r="H257" t="s">
        <v>71</v>
      </c>
      <c r="I257">
        <v>1818.53</v>
      </c>
      <c r="J257">
        <f>Tabela1[[#This Row],[Valor Total]]/Tabela1[[#This Row],[Quantidade]]</f>
        <v>259.79000000000002</v>
      </c>
      <c r="K257" t="str">
        <f>TEXT(Tabela1[[#This Row],[Data]],"aaaa-mm")</f>
        <v>2023-10</v>
      </c>
    </row>
    <row r="258" spans="1:11">
      <c r="A258" s="1">
        <v>45208</v>
      </c>
      <c r="B258" t="s">
        <v>61</v>
      </c>
      <c r="C258" t="s">
        <v>6</v>
      </c>
      <c r="D258" t="s">
        <v>73</v>
      </c>
      <c r="E258">
        <v>7</v>
      </c>
      <c r="F258">
        <v>303.89999999999998</v>
      </c>
      <c r="G258" t="s">
        <v>15</v>
      </c>
      <c r="H258" t="s">
        <v>64</v>
      </c>
      <c r="I258">
        <v>2127.3000000000002</v>
      </c>
      <c r="J258">
        <f>Tabela1[[#This Row],[Valor Total]]/Tabela1[[#This Row],[Quantidade]]</f>
        <v>303.90000000000003</v>
      </c>
      <c r="K258" t="str">
        <f>TEXT(Tabela1[[#This Row],[Data]],"aaaa-mm")</f>
        <v>2023-10</v>
      </c>
    </row>
    <row r="259" spans="1:11">
      <c r="A259" s="1">
        <v>45209</v>
      </c>
      <c r="B259" t="s">
        <v>74</v>
      </c>
      <c r="C259" t="s">
        <v>5</v>
      </c>
      <c r="D259" t="s">
        <v>66</v>
      </c>
      <c r="E259">
        <v>9</v>
      </c>
      <c r="F259">
        <v>460.25</v>
      </c>
      <c r="G259" t="s">
        <v>12</v>
      </c>
      <c r="H259" t="s">
        <v>63</v>
      </c>
      <c r="I259">
        <v>4142.25</v>
      </c>
      <c r="J259">
        <f>Tabela1[[#This Row],[Valor Total]]/Tabela1[[#This Row],[Quantidade]]</f>
        <v>460.25</v>
      </c>
      <c r="K259" t="str">
        <f>TEXT(Tabela1[[#This Row],[Data]],"aaaa-mm")</f>
        <v>2023-10</v>
      </c>
    </row>
    <row r="260" spans="1:11">
      <c r="A260" s="1">
        <v>45210</v>
      </c>
      <c r="B260" t="s">
        <v>74</v>
      </c>
      <c r="C260" t="s">
        <v>5</v>
      </c>
      <c r="D260" t="s">
        <v>66</v>
      </c>
      <c r="E260">
        <v>8</v>
      </c>
      <c r="F260">
        <v>150.51</v>
      </c>
      <c r="G260" t="s">
        <v>13</v>
      </c>
      <c r="H260" t="s">
        <v>64</v>
      </c>
      <c r="I260">
        <v>1204.08</v>
      </c>
      <c r="J260">
        <f>Tabela1[[#This Row],[Valor Total]]/Tabela1[[#This Row],[Quantidade]]</f>
        <v>150.51</v>
      </c>
      <c r="K260" t="str">
        <f>TEXT(Tabela1[[#This Row],[Data]],"aaaa-mm")</f>
        <v>2023-10</v>
      </c>
    </row>
    <row r="261" spans="1:11">
      <c r="A261" s="1">
        <v>45211</v>
      </c>
      <c r="B261" t="s">
        <v>72</v>
      </c>
      <c r="C261" t="s">
        <v>4</v>
      </c>
      <c r="D261" t="s">
        <v>66</v>
      </c>
      <c r="E261">
        <v>1</v>
      </c>
      <c r="F261">
        <v>323.35000000000002</v>
      </c>
      <c r="G261" t="s">
        <v>12</v>
      </c>
      <c r="H261" t="s">
        <v>63</v>
      </c>
      <c r="I261">
        <v>323.35000000000002</v>
      </c>
      <c r="J261">
        <f>Tabela1[[#This Row],[Valor Total]]/Tabela1[[#This Row],[Quantidade]]</f>
        <v>323.35000000000002</v>
      </c>
      <c r="K261" t="str">
        <f>TEXT(Tabela1[[#This Row],[Data]],"aaaa-mm")</f>
        <v>2023-10</v>
      </c>
    </row>
    <row r="262" spans="1:11">
      <c r="A262" s="1">
        <v>45213</v>
      </c>
      <c r="B262" t="s">
        <v>69</v>
      </c>
      <c r="C262" t="s">
        <v>7</v>
      </c>
      <c r="D262" t="s">
        <v>62</v>
      </c>
      <c r="E262">
        <v>6</v>
      </c>
      <c r="F262">
        <v>286.58999999999997</v>
      </c>
      <c r="G262" t="s">
        <v>13</v>
      </c>
      <c r="H262" t="s">
        <v>63</v>
      </c>
      <c r="I262">
        <v>1719.54</v>
      </c>
      <c r="J262">
        <f>Tabela1[[#This Row],[Valor Total]]/Tabela1[[#This Row],[Quantidade]]</f>
        <v>286.58999999999997</v>
      </c>
      <c r="K262" t="str">
        <f>TEXT(Tabela1[[#This Row],[Data]],"aaaa-mm")</f>
        <v>2023-10</v>
      </c>
    </row>
    <row r="263" spans="1:11">
      <c r="A263" s="1">
        <v>45214</v>
      </c>
      <c r="B263" t="s">
        <v>69</v>
      </c>
      <c r="C263" t="s">
        <v>6</v>
      </c>
      <c r="D263" t="s">
        <v>73</v>
      </c>
      <c r="E263">
        <v>7</v>
      </c>
      <c r="F263">
        <v>249.03</v>
      </c>
      <c r="G263" t="s">
        <v>15</v>
      </c>
      <c r="H263" t="s">
        <v>63</v>
      </c>
      <c r="I263">
        <v>1743.21</v>
      </c>
      <c r="J263">
        <f>Tabela1[[#This Row],[Valor Total]]/Tabela1[[#This Row],[Quantidade]]</f>
        <v>249.03</v>
      </c>
      <c r="K263" t="str">
        <f>TEXT(Tabela1[[#This Row],[Data]],"aaaa-mm")</f>
        <v>2023-10</v>
      </c>
    </row>
    <row r="264" spans="1:11">
      <c r="A264" s="1">
        <v>45215</v>
      </c>
      <c r="B264" t="s">
        <v>68</v>
      </c>
      <c r="C264" t="s">
        <v>8</v>
      </c>
      <c r="D264" t="s">
        <v>70</v>
      </c>
      <c r="E264">
        <v>6</v>
      </c>
      <c r="F264">
        <v>234.57</v>
      </c>
      <c r="G264" t="s">
        <v>11</v>
      </c>
      <c r="H264" t="s">
        <v>64</v>
      </c>
      <c r="I264">
        <v>1407.42</v>
      </c>
      <c r="J264">
        <f>Tabela1[[#This Row],[Valor Total]]/Tabela1[[#This Row],[Quantidade]]</f>
        <v>234.57000000000002</v>
      </c>
      <c r="K264" t="str">
        <f>TEXT(Tabela1[[#This Row],[Data]],"aaaa-mm")</f>
        <v>2023-10</v>
      </c>
    </row>
    <row r="265" spans="1:11">
      <c r="A265" s="1">
        <v>45216</v>
      </c>
      <c r="B265" t="s">
        <v>68</v>
      </c>
      <c r="C265" t="s">
        <v>7</v>
      </c>
      <c r="D265" t="s">
        <v>65</v>
      </c>
      <c r="E265">
        <v>8</v>
      </c>
      <c r="F265">
        <v>239.08</v>
      </c>
      <c r="G265" t="s">
        <v>13</v>
      </c>
      <c r="H265" t="s">
        <v>67</v>
      </c>
      <c r="I265">
        <v>1912.64</v>
      </c>
      <c r="J265">
        <f>Tabela1[[#This Row],[Valor Total]]/Tabela1[[#This Row],[Quantidade]]</f>
        <v>239.08</v>
      </c>
      <c r="K265" t="str">
        <f>TEXT(Tabela1[[#This Row],[Data]],"aaaa-mm")</f>
        <v>2023-10</v>
      </c>
    </row>
    <row r="266" spans="1:11">
      <c r="A266" s="1">
        <v>45217</v>
      </c>
      <c r="B266" t="s">
        <v>61</v>
      </c>
      <c r="C266" t="s">
        <v>7</v>
      </c>
      <c r="D266" t="s">
        <v>62</v>
      </c>
      <c r="E266">
        <v>3</v>
      </c>
      <c r="F266">
        <v>395.49</v>
      </c>
      <c r="G266" t="s">
        <v>11</v>
      </c>
      <c r="H266" t="s">
        <v>63</v>
      </c>
      <c r="I266">
        <v>1186.47</v>
      </c>
      <c r="J266">
        <f>Tabela1[[#This Row],[Valor Total]]/Tabela1[[#This Row],[Quantidade]]</f>
        <v>395.49</v>
      </c>
      <c r="K266" t="str">
        <f>TEXT(Tabela1[[#This Row],[Data]],"aaaa-mm")</f>
        <v>2023-10</v>
      </c>
    </row>
    <row r="267" spans="1:11">
      <c r="A267" s="1">
        <v>45218</v>
      </c>
      <c r="B267" t="s">
        <v>72</v>
      </c>
      <c r="C267" t="s">
        <v>7</v>
      </c>
      <c r="D267" t="s">
        <v>62</v>
      </c>
      <c r="E267">
        <v>2</v>
      </c>
      <c r="F267">
        <v>179.46</v>
      </c>
      <c r="G267" t="s">
        <v>13</v>
      </c>
      <c r="H267" t="s">
        <v>67</v>
      </c>
      <c r="I267">
        <v>358.92</v>
      </c>
      <c r="J267">
        <f>Tabela1[[#This Row],[Valor Total]]/Tabela1[[#This Row],[Quantidade]]</f>
        <v>179.46</v>
      </c>
      <c r="K267" t="str">
        <f>TEXT(Tabela1[[#This Row],[Data]],"aaaa-mm")</f>
        <v>2023-10</v>
      </c>
    </row>
    <row r="268" spans="1:11">
      <c r="A268" s="1">
        <v>45219</v>
      </c>
      <c r="B268" t="s">
        <v>68</v>
      </c>
      <c r="C268" t="s">
        <v>5</v>
      </c>
      <c r="D268" t="s">
        <v>73</v>
      </c>
      <c r="E268">
        <v>9</v>
      </c>
      <c r="F268">
        <v>422.46</v>
      </c>
      <c r="G268" t="s">
        <v>12</v>
      </c>
      <c r="H268" t="s">
        <v>71</v>
      </c>
      <c r="I268">
        <v>3802.14</v>
      </c>
      <c r="J268">
        <f>Tabela1[[#This Row],[Valor Total]]/Tabela1[[#This Row],[Quantidade]]</f>
        <v>422.46</v>
      </c>
      <c r="K268" t="str">
        <f>TEXT(Tabela1[[#This Row],[Data]],"aaaa-mm")</f>
        <v>2023-10</v>
      </c>
    </row>
    <row r="269" spans="1:11">
      <c r="A269" s="1">
        <v>45220</v>
      </c>
      <c r="B269" t="s">
        <v>74</v>
      </c>
      <c r="C269" t="s">
        <v>5</v>
      </c>
      <c r="D269" t="s">
        <v>65</v>
      </c>
      <c r="E269">
        <v>1</v>
      </c>
      <c r="F269">
        <v>303.76</v>
      </c>
      <c r="G269" t="s">
        <v>14</v>
      </c>
      <c r="H269" t="s">
        <v>63</v>
      </c>
      <c r="I269">
        <v>303.76</v>
      </c>
      <c r="J269">
        <f>Tabela1[[#This Row],[Valor Total]]/Tabela1[[#This Row],[Quantidade]]</f>
        <v>303.76</v>
      </c>
      <c r="K269" t="str">
        <f>TEXT(Tabela1[[#This Row],[Data]],"aaaa-mm")</f>
        <v>2023-10</v>
      </c>
    </row>
    <row r="270" spans="1:11">
      <c r="A270" s="1">
        <v>45221</v>
      </c>
      <c r="B270" t="s">
        <v>61</v>
      </c>
      <c r="C270" t="s">
        <v>4</v>
      </c>
      <c r="D270" t="s">
        <v>62</v>
      </c>
      <c r="E270">
        <v>8</v>
      </c>
      <c r="F270">
        <v>74.37</v>
      </c>
      <c r="G270" t="s">
        <v>15</v>
      </c>
      <c r="H270" t="s">
        <v>64</v>
      </c>
      <c r="I270">
        <v>594.96</v>
      </c>
      <c r="J270">
        <f>Tabela1[[#This Row],[Valor Total]]/Tabela1[[#This Row],[Quantidade]]</f>
        <v>74.37</v>
      </c>
      <c r="K270" t="str">
        <f>TEXT(Tabela1[[#This Row],[Data]],"aaaa-mm")</f>
        <v>2023-10</v>
      </c>
    </row>
    <row r="271" spans="1:11">
      <c r="A271" s="1">
        <v>45222</v>
      </c>
      <c r="B271" t="s">
        <v>74</v>
      </c>
      <c r="C271" t="s">
        <v>5</v>
      </c>
      <c r="D271" t="s">
        <v>73</v>
      </c>
      <c r="E271">
        <v>2</v>
      </c>
      <c r="F271">
        <v>40.270000000000003</v>
      </c>
      <c r="G271" t="s">
        <v>11</v>
      </c>
      <c r="H271" t="s">
        <v>64</v>
      </c>
      <c r="I271">
        <v>80.540000000000006</v>
      </c>
      <c r="J271">
        <f>Tabela1[[#This Row],[Valor Total]]/Tabela1[[#This Row],[Quantidade]]</f>
        <v>40.270000000000003</v>
      </c>
      <c r="K271" t="str">
        <f>TEXT(Tabela1[[#This Row],[Data]],"aaaa-mm")</f>
        <v>2023-10</v>
      </c>
    </row>
    <row r="272" spans="1:11">
      <c r="A272" s="1">
        <v>45224</v>
      </c>
      <c r="B272" t="s">
        <v>72</v>
      </c>
      <c r="C272" t="s">
        <v>6</v>
      </c>
      <c r="D272" t="s">
        <v>70</v>
      </c>
      <c r="E272">
        <v>1</v>
      </c>
      <c r="F272">
        <v>45.3</v>
      </c>
      <c r="G272" t="s">
        <v>15</v>
      </c>
      <c r="H272" t="s">
        <v>71</v>
      </c>
      <c r="I272">
        <v>45.3</v>
      </c>
      <c r="J272">
        <f>Tabela1[[#This Row],[Valor Total]]/Tabela1[[#This Row],[Quantidade]]</f>
        <v>45.3</v>
      </c>
      <c r="K272" t="str">
        <f>TEXT(Tabela1[[#This Row],[Data]],"aaaa-mm")</f>
        <v>2023-10</v>
      </c>
    </row>
    <row r="273" spans="1:11">
      <c r="A273" s="1">
        <v>45225</v>
      </c>
      <c r="B273" t="s">
        <v>72</v>
      </c>
      <c r="C273" t="s">
        <v>8</v>
      </c>
      <c r="D273" t="s">
        <v>73</v>
      </c>
      <c r="E273">
        <v>8</v>
      </c>
      <c r="F273">
        <v>256.45</v>
      </c>
      <c r="G273" t="s">
        <v>11</v>
      </c>
      <c r="H273" t="s">
        <v>67</v>
      </c>
      <c r="I273">
        <v>2051.6</v>
      </c>
      <c r="J273">
        <f>Tabela1[[#This Row],[Valor Total]]/Tabela1[[#This Row],[Quantidade]]</f>
        <v>256.45</v>
      </c>
      <c r="K273" t="str">
        <f>TEXT(Tabela1[[#This Row],[Data]],"aaaa-mm")</f>
        <v>2023-10</v>
      </c>
    </row>
    <row r="274" spans="1:11">
      <c r="A274" s="1">
        <v>45226</v>
      </c>
      <c r="B274" t="s">
        <v>69</v>
      </c>
      <c r="C274" t="s">
        <v>5</v>
      </c>
      <c r="D274" t="s">
        <v>70</v>
      </c>
      <c r="E274">
        <v>5</v>
      </c>
      <c r="F274">
        <v>169.61</v>
      </c>
      <c r="G274" t="s">
        <v>14</v>
      </c>
      <c r="H274" t="s">
        <v>64</v>
      </c>
      <c r="I274">
        <v>848.05000000000007</v>
      </c>
      <c r="J274">
        <f>Tabela1[[#This Row],[Valor Total]]/Tabela1[[#This Row],[Quantidade]]</f>
        <v>169.61</v>
      </c>
      <c r="K274" t="str">
        <f>TEXT(Tabela1[[#This Row],[Data]],"aaaa-mm")</f>
        <v>2023-10</v>
      </c>
    </row>
    <row r="275" spans="1:11">
      <c r="A275" s="1">
        <v>45227</v>
      </c>
      <c r="B275" t="s">
        <v>68</v>
      </c>
      <c r="C275" t="s">
        <v>6</v>
      </c>
      <c r="D275" t="s">
        <v>65</v>
      </c>
      <c r="E275">
        <v>8</v>
      </c>
      <c r="F275">
        <v>388.36</v>
      </c>
      <c r="G275" t="s">
        <v>15</v>
      </c>
      <c r="H275" t="s">
        <v>64</v>
      </c>
      <c r="I275">
        <v>3106.88</v>
      </c>
      <c r="J275">
        <f>Tabela1[[#This Row],[Valor Total]]/Tabela1[[#This Row],[Quantidade]]</f>
        <v>388.36</v>
      </c>
      <c r="K275" t="str">
        <f>TEXT(Tabela1[[#This Row],[Data]],"aaaa-mm")</f>
        <v>2023-10</v>
      </c>
    </row>
    <row r="276" spans="1:11">
      <c r="A276" s="1">
        <v>45228</v>
      </c>
      <c r="B276" t="s">
        <v>68</v>
      </c>
      <c r="C276" t="s">
        <v>7</v>
      </c>
      <c r="D276" t="s">
        <v>70</v>
      </c>
      <c r="E276">
        <v>3</v>
      </c>
      <c r="F276">
        <v>226.04</v>
      </c>
      <c r="G276" t="s">
        <v>11</v>
      </c>
      <c r="H276" t="s">
        <v>67</v>
      </c>
      <c r="I276">
        <v>678.12</v>
      </c>
      <c r="J276">
        <f>Tabela1[[#This Row],[Valor Total]]/Tabela1[[#This Row],[Quantidade]]</f>
        <v>226.04</v>
      </c>
      <c r="K276" t="str">
        <f>TEXT(Tabela1[[#This Row],[Data]],"aaaa-mm")</f>
        <v>2023-10</v>
      </c>
    </row>
    <row r="277" spans="1:11">
      <c r="A277" s="1">
        <v>45229</v>
      </c>
      <c r="B277" t="s">
        <v>68</v>
      </c>
      <c r="C277" t="s">
        <v>8</v>
      </c>
      <c r="D277" t="s">
        <v>73</v>
      </c>
      <c r="E277">
        <v>1</v>
      </c>
      <c r="F277">
        <v>332.9</v>
      </c>
      <c r="G277" t="s">
        <v>15</v>
      </c>
      <c r="H277" t="s">
        <v>71</v>
      </c>
      <c r="I277">
        <v>332.9</v>
      </c>
      <c r="J277">
        <f>Tabela1[[#This Row],[Valor Total]]/Tabela1[[#This Row],[Quantidade]]</f>
        <v>332.9</v>
      </c>
      <c r="K277" t="str">
        <f>TEXT(Tabela1[[#This Row],[Data]],"aaaa-mm")</f>
        <v>2023-10</v>
      </c>
    </row>
    <row r="278" spans="1:11">
      <c r="A278" s="1">
        <v>45230</v>
      </c>
      <c r="B278" t="s">
        <v>69</v>
      </c>
      <c r="C278" t="s">
        <v>4</v>
      </c>
      <c r="D278" t="s">
        <v>62</v>
      </c>
      <c r="E278">
        <v>1</v>
      </c>
      <c r="F278">
        <v>313.33</v>
      </c>
      <c r="G278" t="s">
        <v>12</v>
      </c>
      <c r="H278" t="s">
        <v>63</v>
      </c>
      <c r="I278">
        <v>313.33</v>
      </c>
      <c r="J278">
        <f>Tabela1[[#This Row],[Valor Total]]/Tabela1[[#This Row],[Quantidade]]</f>
        <v>313.33</v>
      </c>
      <c r="K278" t="str">
        <f>TEXT(Tabela1[[#This Row],[Data]],"aaaa-mm")</f>
        <v>2023-10</v>
      </c>
    </row>
    <row r="279" spans="1:11">
      <c r="A279" s="1">
        <v>45231</v>
      </c>
      <c r="B279" t="s">
        <v>74</v>
      </c>
      <c r="C279" t="s">
        <v>7</v>
      </c>
      <c r="D279" t="s">
        <v>66</v>
      </c>
      <c r="E279">
        <v>6</v>
      </c>
      <c r="F279">
        <v>310.58</v>
      </c>
      <c r="G279" t="s">
        <v>14</v>
      </c>
      <c r="H279" t="s">
        <v>67</v>
      </c>
      <c r="I279">
        <v>1863.48</v>
      </c>
      <c r="J279">
        <f>Tabela1[[#This Row],[Valor Total]]/Tabela1[[#This Row],[Quantidade]]</f>
        <v>310.58</v>
      </c>
      <c r="K279" t="str">
        <f>TEXT(Tabela1[[#This Row],[Data]],"aaaa-mm")</f>
        <v>2023-11</v>
      </c>
    </row>
    <row r="280" spans="1:11">
      <c r="A280" s="1">
        <v>45232</v>
      </c>
      <c r="B280" t="s">
        <v>74</v>
      </c>
      <c r="C280" t="s">
        <v>8</v>
      </c>
      <c r="D280" t="s">
        <v>73</v>
      </c>
      <c r="E280">
        <v>9</v>
      </c>
      <c r="F280">
        <v>239.12</v>
      </c>
      <c r="G280" t="s">
        <v>11</v>
      </c>
      <c r="H280" t="s">
        <v>71</v>
      </c>
      <c r="I280">
        <v>2152.08</v>
      </c>
      <c r="J280">
        <f>Tabela1[[#This Row],[Valor Total]]/Tabela1[[#This Row],[Quantidade]]</f>
        <v>239.12</v>
      </c>
      <c r="K280" t="str">
        <f>TEXT(Tabela1[[#This Row],[Data]],"aaaa-mm")</f>
        <v>2023-11</v>
      </c>
    </row>
    <row r="281" spans="1:11">
      <c r="A281" s="1">
        <v>45233</v>
      </c>
      <c r="B281" t="s">
        <v>74</v>
      </c>
      <c r="C281" t="s">
        <v>8</v>
      </c>
      <c r="D281" t="s">
        <v>70</v>
      </c>
      <c r="E281">
        <v>4</v>
      </c>
      <c r="F281">
        <v>64.12</v>
      </c>
      <c r="G281" t="s">
        <v>14</v>
      </c>
      <c r="H281" t="s">
        <v>67</v>
      </c>
      <c r="I281">
        <v>256.48</v>
      </c>
      <c r="J281">
        <f>Tabela1[[#This Row],[Valor Total]]/Tabela1[[#This Row],[Quantidade]]</f>
        <v>64.12</v>
      </c>
      <c r="K281" t="str">
        <f>TEXT(Tabela1[[#This Row],[Data]],"aaaa-mm")</f>
        <v>2023-11</v>
      </c>
    </row>
    <row r="282" spans="1:11">
      <c r="A282" s="1">
        <v>45235</v>
      </c>
      <c r="B282" t="s">
        <v>68</v>
      </c>
      <c r="C282" t="s">
        <v>5</v>
      </c>
      <c r="D282" t="s">
        <v>73</v>
      </c>
      <c r="E282">
        <v>5</v>
      </c>
      <c r="F282">
        <v>431</v>
      </c>
      <c r="G282" t="s">
        <v>12</v>
      </c>
      <c r="H282" t="s">
        <v>63</v>
      </c>
      <c r="I282">
        <v>2155</v>
      </c>
      <c r="J282">
        <f>Tabela1[[#This Row],[Valor Total]]/Tabela1[[#This Row],[Quantidade]]</f>
        <v>431</v>
      </c>
      <c r="K282" t="str">
        <f>TEXT(Tabela1[[#This Row],[Data]],"aaaa-mm")</f>
        <v>2023-11</v>
      </c>
    </row>
    <row r="283" spans="1:11">
      <c r="A283" s="1">
        <v>45236</v>
      </c>
      <c r="B283" t="s">
        <v>74</v>
      </c>
      <c r="C283" t="s">
        <v>5</v>
      </c>
      <c r="D283" t="s">
        <v>70</v>
      </c>
      <c r="E283">
        <v>7</v>
      </c>
      <c r="F283">
        <v>185.7</v>
      </c>
      <c r="G283" t="s">
        <v>14</v>
      </c>
      <c r="H283" t="s">
        <v>71</v>
      </c>
      <c r="I283">
        <v>1299.9000000000001</v>
      </c>
      <c r="J283">
        <f>Tabela1[[#This Row],[Valor Total]]/Tabela1[[#This Row],[Quantidade]]</f>
        <v>185.70000000000002</v>
      </c>
      <c r="K283" t="str">
        <f>TEXT(Tabela1[[#This Row],[Data]],"aaaa-mm")</f>
        <v>2023-11</v>
      </c>
    </row>
    <row r="284" spans="1:11">
      <c r="A284" s="1">
        <v>45237</v>
      </c>
      <c r="B284" t="s">
        <v>72</v>
      </c>
      <c r="C284" t="s">
        <v>6</v>
      </c>
      <c r="D284" t="s">
        <v>73</v>
      </c>
      <c r="E284">
        <v>8</v>
      </c>
      <c r="F284">
        <v>365.5</v>
      </c>
      <c r="G284" t="s">
        <v>12</v>
      </c>
      <c r="H284" t="s">
        <v>64</v>
      </c>
      <c r="I284">
        <v>2924</v>
      </c>
      <c r="J284">
        <f>Tabela1[[#This Row],[Valor Total]]/Tabela1[[#This Row],[Quantidade]]</f>
        <v>365.5</v>
      </c>
      <c r="K284" t="str">
        <f>TEXT(Tabela1[[#This Row],[Data]],"aaaa-mm")</f>
        <v>2023-11</v>
      </c>
    </row>
    <row r="285" spans="1:11">
      <c r="A285" s="1">
        <v>45238</v>
      </c>
      <c r="B285" t="s">
        <v>72</v>
      </c>
      <c r="C285" t="s">
        <v>4</v>
      </c>
      <c r="D285" t="s">
        <v>70</v>
      </c>
      <c r="E285">
        <v>1</v>
      </c>
      <c r="F285">
        <v>122.79</v>
      </c>
      <c r="G285" t="s">
        <v>12</v>
      </c>
      <c r="H285" t="s">
        <v>64</v>
      </c>
      <c r="I285">
        <v>122.79</v>
      </c>
      <c r="J285">
        <f>Tabela1[[#This Row],[Valor Total]]/Tabela1[[#This Row],[Quantidade]]</f>
        <v>122.79</v>
      </c>
      <c r="K285" t="str">
        <f>TEXT(Tabela1[[#This Row],[Data]],"aaaa-mm")</f>
        <v>2023-11</v>
      </c>
    </row>
    <row r="286" spans="1:11">
      <c r="A286" s="1">
        <v>45239</v>
      </c>
      <c r="B286" t="s">
        <v>74</v>
      </c>
      <c r="C286" t="s">
        <v>8</v>
      </c>
      <c r="D286" t="s">
        <v>66</v>
      </c>
      <c r="E286">
        <v>2</v>
      </c>
      <c r="F286">
        <v>241.04</v>
      </c>
      <c r="G286" t="s">
        <v>12</v>
      </c>
      <c r="H286" t="s">
        <v>64</v>
      </c>
      <c r="I286">
        <v>482.08</v>
      </c>
      <c r="J286">
        <f>Tabela1[[#This Row],[Valor Total]]/Tabela1[[#This Row],[Quantidade]]</f>
        <v>241.04</v>
      </c>
      <c r="K286" t="str">
        <f>TEXT(Tabela1[[#This Row],[Data]],"aaaa-mm")</f>
        <v>2023-11</v>
      </c>
    </row>
    <row r="287" spans="1:11">
      <c r="A287" s="1">
        <v>45240</v>
      </c>
      <c r="B287" t="s">
        <v>69</v>
      </c>
      <c r="C287" t="s">
        <v>4</v>
      </c>
      <c r="D287" t="s">
        <v>73</v>
      </c>
      <c r="E287">
        <v>1</v>
      </c>
      <c r="F287">
        <v>383.94</v>
      </c>
      <c r="G287" t="s">
        <v>13</v>
      </c>
      <c r="H287" t="s">
        <v>64</v>
      </c>
      <c r="I287">
        <v>383.94</v>
      </c>
      <c r="J287">
        <f>Tabela1[[#This Row],[Valor Total]]/Tabela1[[#This Row],[Quantidade]]</f>
        <v>383.94</v>
      </c>
      <c r="K287" t="str">
        <f>TEXT(Tabela1[[#This Row],[Data]],"aaaa-mm")</f>
        <v>2023-11</v>
      </c>
    </row>
    <row r="288" spans="1:11">
      <c r="A288" s="1">
        <v>45241</v>
      </c>
      <c r="B288" t="s">
        <v>61</v>
      </c>
      <c r="C288" t="s">
        <v>6</v>
      </c>
      <c r="D288" t="s">
        <v>70</v>
      </c>
      <c r="E288">
        <v>1</v>
      </c>
      <c r="F288">
        <v>289.69</v>
      </c>
      <c r="G288" t="s">
        <v>12</v>
      </c>
      <c r="H288" t="s">
        <v>63</v>
      </c>
      <c r="I288">
        <v>289.69</v>
      </c>
      <c r="J288">
        <f>Tabela1[[#This Row],[Valor Total]]/Tabela1[[#This Row],[Quantidade]]</f>
        <v>289.69</v>
      </c>
      <c r="K288" t="str">
        <f>TEXT(Tabela1[[#This Row],[Data]],"aaaa-mm")</f>
        <v>2023-11</v>
      </c>
    </row>
    <row r="289" spans="1:11">
      <c r="A289" s="1">
        <v>45242</v>
      </c>
      <c r="B289" t="s">
        <v>72</v>
      </c>
      <c r="C289" t="s">
        <v>5</v>
      </c>
      <c r="D289" t="s">
        <v>73</v>
      </c>
      <c r="E289">
        <v>5</v>
      </c>
      <c r="F289">
        <v>238.41</v>
      </c>
      <c r="G289" t="s">
        <v>11</v>
      </c>
      <c r="H289" t="s">
        <v>67</v>
      </c>
      <c r="I289">
        <v>1192.05</v>
      </c>
      <c r="J289">
        <f>Tabela1[[#This Row],[Valor Total]]/Tabela1[[#This Row],[Quantidade]]</f>
        <v>238.41</v>
      </c>
      <c r="K289" t="str">
        <f>TEXT(Tabela1[[#This Row],[Data]],"aaaa-mm")</f>
        <v>2023-11</v>
      </c>
    </row>
    <row r="290" spans="1:11">
      <c r="A290" s="1">
        <v>45243</v>
      </c>
      <c r="B290" t="s">
        <v>61</v>
      </c>
      <c r="C290" t="s">
        <v>7</v>
      </c>
      <c r="D290" t="s">
        <v>70</v>
      </c>
      <c r="E290">
        <v>6</v>
      </c>
      <c r="F290">
        <v>290.58</v>
      </c>
      <c r="G290" t="s">
        <v>13</v>
      </c>
      <c r="H290" t="s">
        <v>71</v>
      </c>
      <c r="I290">
        <v>1743.48</v>
      </c>
      <c r="J290">
        <f>Tabela1[[#This Row],[Valor Total]]/Tabela1[[#This Row],[Quantidade]]</f>
        <v>290.58</v>
      </c>
      <c r="K290" t="str">
        <f>TEXT(Tabela1[[#This Row],[Data]],"aaaa-mm")</f>
        <v>2023-11</v>
      </c>
    </row>
    <row r="291" spans="1:11">
      <c r="A291" s="1">
        <v>45244</v>
      </c>
      <c r="B291" t="s">
        <v>68</v>
      </c>
      <c r="C291" t="s">
        <v>5</v>
      </c>
      <c r="D291" t="s">
        <v>70</v>
      </c>
      <c r="E291">
        <v>7</v>
      </c>
      <c r="F291">
        <v>266.77</v>
      </c>
      <c r="G291" t="s">
        <v>13</v>
      </c>
      <c r="H291" t="s">
        <v>67</v>
      </c>
      <c r="I291">
        <v>1867.39</v>
      </c>
      <c r="J291">
        <f>Tabela1[[#This Row],[Valor Total]]/Tabela1[[#This Row],[Quantidade]]</f>
        <v>266.77000000000004</v>
      </c>
      <c r="K291" t="str">
        <f>TEXT(Tabela1[[#This Row],[Data]],"aaaa-mm")</f>
        <v>2023-11</v>
      </c>
    </row>
    <row r="292" spans="1:11">
      <c r="A292" s="1">
        <v>45245</v>
      </c>
      <c r="B292" t="s">
        <v>74</v>
      </c>
      <c r="C292" t="s">
        <v>6</v>
      </c>
      <c r="D292" t="s">
        <v>66</v>
      </c>
      <c r="E292">
        <v>8</v>
      </c>
      <c r="F292">
        <v>289.16000000000003</v>
      </c>
      <c r="G292" t="s">
        <v>15</v>
      </c>
      <c r="H292" t="s">
        <v>64</v>
      </c>
      <c r="I292">
        <v>2313.2800000000002</v>
      </c>
      <c r="J292">
        <f>Tabela1[[#This Row],[Valor Total]]/Tabela1[[#This Row],[Quantidade]]</f>
        <v>289.16000000000003</v>
      </c>
      <c r="K292" t="str">
        <f>TEXT(Tabela1[[#This Row],[Data]],"aaaa-mm")</f>
        <v>2023-11</v>
      </c>
    </row>
    <row r="293" spans="1:11">
      <c r="A293" s="1">
        <v>45247</v>
      </c>
      <c r="B293" t="s">
        <v>72</v>
      </c>
      <c r="C293" t="s">
        <v>6</v>
      </c>
      <c r="D293" t="s">
        <v>62</v>
      </c>
      <c r="E293">
        <v>2</v>
      </c>
      <c r="F293">
        <v>127.14</v>
      </c>
      <c r="G293" t="s">
        <v>12</v>
      </c>
      <c r="H293" t="s">
        <v>64</v>
      </c>
      <c r="I293">
        <v>254.28</v>
      </c>
      <c r="J293">
        <f>Tabela1[[#This Row],[Valor Total]]/Tabela1[[#This Row],[Quantidade]]</f>
        <v>127.14</v>
      </c>
      <c r="K293" t="str">
        <f>TEXT(Tabela1[[#This Row],[Data]],"aaaa-mm")</f>
        <v>2023-11</v>
      </c>
    </row>
    <row r="294" spans="1:11">
      <c r="A294" s="1">
        <v>45248</v>
      </c>
      <c r="B294" t="s">
        <v>74</v>
      </c>
      <c r="C294" t="s">
        <v>8</v>
      </c>
      <c r="D294" t="s">
        <v>62</v>
      </c>
      <c r="E294">
        <v>7</v>
      </c>
      <c r="F294">
        <v>464.77</v>
      </c>
      <c r="G294" t="s">
        <v>12</v>
      </c>
      <c r="H294" t="s">
        <v>67</v>
      </c>
      <c r="I294">
        <v>3253.39</v>
      </c>
      <c r="J294">
        <f>Tabela1[[#This Row],[Valor Total]]/Tabela1[[#This Row],[Quantidade]]</f>
        <v>464.77</v>
      </c>
      <c r="K294" t="str">
        <f>TEXT(Tabela1[[#This Row],[Data]],"aaaa-mm")</f>
        <v>2023-11</v>
      </c>
    </row>
    <row r="295" spans="1:11">
      <c r="A295" s="1">
        <v>45249</v>
      </c>
      <c r="B295" t="s">
        <v>72</v>
      </c>
      <c r="C295" t="s">
        <v>6</v>
      </c>
      <c r="D295" t="s">
        <v>70</v>
      </c>
      <c r="E295">
        <v>8</v>
      </c>
      <c r="F295">
        <v>266</v>
      </c>
      <c r="G295" t="s">
        <v>15</v>
      </c>
      <c r="H295" t="s">
        <v>64</v>
      </c>
      <c r="I295">
        <v>2128</v>
      </c>
      <c r="J295">
        <f>Tabela1[[#This Row],[Valor Total]]/Tabela1[[#This Row],[Quantidade]]</f>
        <v>266</v>
      </c>
      <c r="K295" t="str">
        <f>TEXT(Tabela1[[#This Row],[Data]],"aaaa-mm")</f>
        <v>2023-11</v>
      </c>
    </row>
    <row r="296" spans="1:11">
      <c r="A296" s="1">
        <v>45250</v>
      </c>
      <c r="B296" t="s">
        <v>74</v>
      </c>
      <c r="C296" t="s">
        <v>4</v>
      </c>
      <c r="D296" t="s">
        <v>70</v>
      </c>
      <c r="E296">
        <v>1</v>
      </c>
      <c r="F296">
        <v>169.22</v>
      </c>
      <c r="G296" t="s">
        <v>14</v>
      </c>
      <c r="H296" t="s">
        <v>64</v>
      </c>
      <c r="I296">
        <v>169.22</v>
      </c>
      <c r="J296">
        <f>Tabela1[[#This Row],[Valor Total]]/Tabela1[[#This Row],[Quantidade]]</f>
        <v>169.22</v>
      </c>
      <c r="K296" t="str">
        <f>TEXT(Tabela1[[#This Row],[Data]],"aaaa-mm")</f>
        <v>2023-11</v>
      </c>
    </row>
    <row r="297" spans="1:11">
      <c r="A297" s="1">
        <v>45251</v>
      </c>
      <c r="B297" t="s">
        <v>61</v>
      </c>
      <c r="C297" t="s">
        <v>5</v>
      </c>
      <c r="D297" t="s">
        <v>62</v>
      </c>
      <c r="E297">
        <v>7</v>
      </c>
      <c r="F297">
        <v>320.20999999999998</v>
      </c>
      <c r="G297" t="s">
        <v>12</v>
      </c>
      <c r="H297" t="s">
        <v>63</v>
      </c>
      <c r="I297">
        <v>2241.4699999999998</v>
      </c>
      <c r="J297">
        <f>Tabela1[[#This Row],[Valor Total]]/Tabela1[[#This Row],[Quantidade]]</f>
        <v>320.20999999999998</v>
      </c>
      <c r="K297" t="str">
        <f>TEXT(Tabela1[[#This Row],[Data]],"aaaa-mm")</f>
        <v>2023-11</v>
      </c>
    </row>
    <row r="298" spans="1:11">
      <c r="A298" s="1">
        <v>45252</v>
      </c>
      <c r="B298" t="s">
        <v>61</v>
      </c>
      <c r="C298" t="s">
        <v>6</v>
      </c>
      <c r="D298" t="s">
        <v>70</v>
      </c>
      <c r="E298">
        <v>7</v>
      </c>
      <c r="F298">
        <v>343.01</v>
      </c>
      <c r="G298" t="s">
        <v>14</v>
      </c>
      <c r="H298" t="s">
        <v>63</v>
      </c>
      <c r="I298">
        <v>2401.0700000000002</v>
      </c>
      <c r="J298">
        <f>Tabela1[[#This Row],[Valor Total]]/Tabela1[[#This Row],[Quantidade]]</f>
        <v>343.01000000000005</v>
      </c>
      <c r="K298" t="str">
        <f>TEXT(Tabela1[[#This Row],[Data]],"aaaa-mm")</f>
        <v>2023-11</v>
      </c>
    </row>
    <row r="299" spans="1:11">
      <c r="A299" s="1">
        <v>45253</v>
      </c>
      <c r="B299" t="s">
        <v>61</v>
      </c>
      <c r="C299" t="s">
        <v>6</v>
      </c>
      <c r="D299" t="s">
        <v>65</v>
      </c>
      <c r="E299">
        <v>3</v>
      </c>
      <c r="F299">
        <v>331.23</v>
      </c>
      <c r="G299" t="s">
        <v>15</v>
      </c>
      <c r="H299" t="s">
        <v>64</v>
      </c>
      <c r="I299">
        <v>993.69</v>
      </c>
      <c r="J299">
        <f>Tabela1[[#This Row],[Valor Total]]/Tabela1[[#This Row],[Quantidade]]</f>
        <v>331.23</v>
      </c>
      <c r="K299" t="str">
        <f>TEXT(Tabela1[[#This Row],[Data]],"aaaa-mm")</f>
        <v>2023-11</v>
      </c>
    </row>
    <row r="300" spans="1:11">
      <c r="A300" s="1">
        <v>45254</v>
      </c>
      <c r="B300" t="s">
        <v>69</v>
      </c>
      <c r="C300" t="s">
        <v>5</v>
      </c>
      <c r="D300" t="s">
        <v>66</v>
      </c>
      <c r="E300">
        <v>9</v>
      </c>
      <c r="F300">
        <v>236.8</v>
      </c>
      <c r="G300" t="s">
        <v>13</v>
      </c>
      <c r="H300" t="s">
        <v>64</v>
      </c>
      <c r="I300">
        <v>2131.1999999999998</v>
      </c>
      <c r="J300">
        <f>Tabela1[[#This Row],[Valor Total]]/Tabela1[[#This Row],[Quantidade]]</f>
        <v>236.79999999999998</v>
      </c>
      <c r="K300" t="str">
        <f>TEXT(Tabela1[[#This Row],[Data]],"aaaa-mm")</f>
        <v>2023-11</v>
      </c>
    </row>
    <row r="301" spans="1:11">
      <c r="A301" s="1">
        <v>45255</v>
      </c>
      <c r="B301" t="s">
        <v>61</v>
      </c>
      <c r="C301" t="s">
        <v>6</v>
      </c>
      <c r="D301" t="s">
        <v>65</v>
      </c>
      <c r="E301">
        <v>2</v>
      </c>
      <c r="F301">
        <v>265.69</v>
      </c>
      <c r="G301" t="s">
        <v>11</v>
      </c>
      <c r="H301" t="s">
        <v>63</v>
      </c>
      <c r="I301">
        <v>531.38</v>
      </c>
      <c r="J301">
        <f>Tabela1[[#This Row],[Valor Total]]/Tabela1[[#This Row],[Quantidade]]</f>
        <v>265.69</v>
      </c>
      <c r="K301" t="str">
        <f>TEXT(Tabela1[[#This Row],[Data]],"aaaa-mm")</f>
        <v>2023-11</v>
      </c>
    </row>
    <row r="302" spans="1:11">
      <c r="A302" s="1">
        <v>45256</v>
      </c>
      <c r="B302" t="s">
        <v>61</v>
      </c>
      <c r="C302" t="s">
        <v>5</v>
      </c>
      <c r="D302" t="s">
        <v>62</v>
      </c>
      <c r="E302">
        <v>8</v>
      </c>
      <c r="F302">
        <v>331.38</v>
      </c>
      <c r="G302" t="s">
        <v>14</v>
      </c>
      <c r="H302" t="s">
        <v>64</v>
      </c>
      <c r="I302">
        <v>2651.04</v>
      </c>
      <c r="J302">
        <f>Tabela1[[#This Row],[Valor Total]]/Tabela1[[#This Row],[Quantidade]]</f>
        <v>331.38</v>
      </c>
      <c r="K302" t="str">
        <f>TEXT(Tabela1[[#This Row],[Data]],"aaaa-mm")</f>
        <v>2023-11</v>
      </c>
    </row>
    <row r="303" spans="1:11">
      <c r="A303" s="1">
        <v>45258</v>
      </c>
      <c r="B303" t="s">
        <v>74</v>
      </c>
      <c r="C303" t="s">
        <v>8</v>
      </c>
      <c r="D303" t="s">
        <v>70</v>
      </c>
      <c r="E303">
        <v>6</v>
      </c>
      <c r="F303">
        <v>45.45</v>
      </c>
      <c r="G303" t="s">
        <v>12</v>
      </c>
      <c r="H303" t="s">
        <v>64</v>
      </c>
      <c r="I303">
        <v>272.7</v>
      </c>
      <c r="J303">
        <f>Tabela1[[#This Row],[Valor Total]]/Tabela1[[#This Row],[Quantidade]]</f>
        <v>45.449999999999996</v>
      </c>
      <c r="K303" t="str">
        <f>TEXT(Tabela1[[#This Row],[Data]],"aaaa-mm")</f>
        <v>2023-11</v>
      </c>
    </row>
    <row r="304" spans="1:11">
      <c r="A304" s="1">
        <v>45259</v>
      </c>
      <c r="B304" t="s">
        <v>69</v>
      </c>
      <c r="C304" t="s">
        <v>6</v>
      </c>
      <c r="D304" t="s">
        <v>62</v>
      </c>
      <c r="E304">
        <v>5</v>
      </c>
      <c r="F304">
        <v>37.76</v>
      </c>
      <c r="G304" t="s">
        <v>15</v>
      </c>
      <c r="H304" t="s">
        <v>71</v>
      </c>
      <c r="I304">
        <v>188.8</v>
      </c>
      <c r="J304">
        <f>Tabela1[[#This Row],[Valor Total]]/Tabela1[[#This Row],[Quantidade]]</f>
        <v>37.760000000000005</v>
      </c>
      <c r="K304" t="str">
        <f>TEXT(Tabela1[[#This Row],[Data]],"aaaa-mm")</f>
        <v>2023-11</v>
      </c>
    </row>
    <row r="305" spans="1:11">
      <c r="A305" s="1">
        <v>45260</v>
      </c>
      <c r="B305" t="s">
        <v>74</v>
      </c>
      <c r="C305" t="s">
        <v>6</v>
      </c>
      <c r="D305" t="s">
        <v>62</v>
      </c>
      <c r="E305">
        <v>5</v>
      </c>
      <c r="F305">
        <v>36.14</v>
      </c>
      <c r="G305" t="s">
        <v>13</v>
      </c>
      <c r="H305" t="s">
        <v>71</v>
      </c>
      <c r="I305">
        <v>180.7</v>
      </c>
      <c r="J305">
        <f>Tabela1[[#This Row],[Valor Total]]/Tabela1[[#This Row],[Quantidade]]</f>
        <v>36.14</v>
      </c>
      <c r="K305" t="str">
        <f>TEXT(Tabela1[[#This Row],[Data]],"aaaa-mm")</f>
        <v>2023-11</v>
      </c>
    </row>
    <row r="306" spans="1:11">
      <c r="A306" s="1">
        <v>45261</v>
      </c>
      <c r="B306" t="s">
        <v>61</v>
      </c>
      <c r="C306" t="s">
        <v>5</v>
      </c>
      <c r="D306" t="s">
        <v>66</v>
      </c>
      <c r="E306">
        <v>2</v>
      </c>
      <c r="F306">
        <v>63.89</v>
      </c>
      <c r="G306" t="s">
        <v>13</v>
      </c>
      <c r="H306" t="s">
        <v>67</v>
      </c>
      <c r="I306">
        <v>127.78</v>
      </c>
      <c r="J306">
        <f>Tabela1[[#This Row],[Valor Total]]/Tabela1[[#This Row],[Quantidade]]</f>
        <v>63.89</v>
      </c>
      <c r="K306" t="str">
        <f>TEXT(Tabela1[[#This Row],[Data]],"aaaa-mm")</f>
        <v>2023-12</v>
      </c>
    </row>
    <row r="307" spans="1:11">
      <c r="A307" s="1">
        <v>45262</v>
      </c>
      <c r="B307" t="s">
        <v>68</v>
      </c>
      <c r="C307" t="s">
        <v>6</v>
      </c>
      <c r="D307" t="s">
        <v>73</v>
      </c>
      <c r="E307">
        <v>3</v>
      </c>
      <c r="F307">
        <v>460.75</v>
      </c>
      <c r="G307" t="s">
        <v>13</v>
      </c>
      <c r="H307" t="s">
        <v>64</v>
      </c>
      <c r="I307">
        <v>1382.25</v>
      </c>
      <c r="J307">
        <f>Tabela1[[#This Row],[Valor Total]]/Tabela1[[#This Row],[Quantidade]]</f>
        <v>460.75</v>
      </c>
      <c r="K307" t="str">
        <f>TEXT(Tabela1[[#This Row],[Data]],"aaaa-mm")</f>
        <v>2023-12</v>
      </c>
    </row>
    <row r="308" spans="1:11">
      <c r="A308" s="1">
        <v>45263</v>
      </c>
      <c r="B308" t="s">
        <v>68</v>
      </c>
      <c r="C308" t="s">
        <v>7</v>
      </c>
      <c r="D308" t="s">
        <v>65</v>
      </c>
      <c r="E308">
        <v>7</v>
      </c>
      <c r="F308">
        <v>238.86</v>
      </c>
      <c r="G308" t="s">
        <v>15</v>
      </c>
      <c r="H308" t="s">
        <v>63</v>
      </c>
      <c r="I308">
        <v>1672.02</v>
      </c>
      <c r="J308">
        <f>Tabela1[[#This Row],[Valor Total]]/Tabela1[[#This Row],[Quantidade]]</f>
        <v>238.85999999999999</v>
      </c>
      <c r="K308" t="str">
        <f>TEXT(Tabela1[[#This Row],[Data]],"aaaa-mm")</f>
        <v>2023-12</v>
      </c>
    </row>
    <row r="309" spans="1:11">
      <c r="A309" s="1">
        <v>45264</v>
      </c>
      <c r="B309" t="s">
        <v>69</v>
      </c>
      <c r="C309" t="s">
        <v>6</v>
      </c>
      <c r="D309" t="s">
        <v>70</v>
      </c>
      <c r="E309">
        <v>6</v>
      </c>
      <c r="F309">
        <v>307.49</v>
      </c>
      <c r="G309" t="s">
        <v>13</v>
      </c>
      <c r="H309" t="s">
        <v>67</v>
      </c>
      <c r="I309">
        <v>1844.94</v>
      </c>
      <c r="J309">
        <f>Tabela1[[#This Row],[Valor Total]]/Tabela1[[#This Row],[Quantidade]]</f>
        <v>307.49</v>
      </c>
      <c r="K309" t="str">
        <f>TEXT(Tabela1[[#This Row],[Data]],"aaaa-mm")</f>
        <v>2023-12</v>
      </c>
    </row>
    <row r="310" spans="1:11">
      <c r="A310" s="1">
        <v>45265</v>
      </c>
      <c r="B310" t="s">
        <v>74</v>
      </c>
      <c r="C310" t="s">
        <v>7</v>
      </c>
      <c r="D310" t="s">
        <v>70</v>
      </c>
      <c r="E310">
        <v>5</v>
      </c>
      <c r="F310">
        <v>22.86</v>
      </c>
      <c r="G310" t="s">
        <v>14</v>
      </c>
      <c r="H310" t="s">
        <v>64</v>
      </c>
      <c r="I310">
        <v>114.3</v>
      </c>
      <c r="J310">
        <f>Tabela1[[#This Row],[Valor Total]]/Tabela1[[#This Row],[Quantidade]]</f>
        <v>22.86</v>
      </c>
      <c r="K310" t="str">
        <f>TEXT(Tabela1[[#This Row],[Data]],"aaaa-mm")</f>
        <v>2023-12</v>
      </c>
    </row>
    <row r="311" spans="1:11">
      <c r="A311" s="1">
        <v>45266</v>
      </c>
      <c r="B311" t="s">
        <v>74</v>
      </c>
      <c r="C311" t="s">
        <v>7</v>
      </c>
      <c r="D311" t="s">
        <v>66</v>
      </c>
      <c r="E311">
        <v>7</v>
      </c>
      <c r="F311">
        <v>481.24</v>
      </c>
      <c r="G311" t="s">
        <v>13</v>
      </c>
      <c r="H311" t="s">
        <v>63</v>
      </c>
      <c r="I311">
        <v>3368.68</v>
      </c>
      <c r="J311">
        <f>Tabela1[[#This Row],[Valor Total]]/Tabela1[[#This Row],[Quantidade]]</f>
        <v>481.23999999999995</v>
      </c>
      <c r="K311" t="str">
        <f>TEXT(Tabela1[[#This Row],[Data]],"aaaa-mm")</f>
        <v>2023-12</v>
      </c>
    </row>
    <row r="312" spans="1:11">
      <c r="A312" s="1">
        <v>45267</v>
      </c>
      <c r="B312" t="s">
        <v>68</v>
      </c>
      <c r="C312" t="s">
        <v>8</v>
      </c>
      <c r="D312" t="s">
        <v>70</v>
      </c>
      <c r="E312">
        <v>3</v>
      </c>
      <c r="F312">
        <v>485.49</v>
      </c>
      <c r="G312" t="s">
        <v>14</v>
      </c>
      <c r="H312" t="s">
        <v>71</v>
      </c>
      <c r="I312">
        <v>1456.47</v>
      </c>
      <c r="J312">
        <f>Tabela1[[#This Row],[Valor Total]]/Tabela1[[#This Row],[Quantidade]]</f>
        <v>485.49</v>
      </c>
      <c r="K312" t="str">
        <f>TEXT(Tabela1[[#This Row],[Data]],"aaaa-mm")</f>
        <v>2023-12</v>
      </c>
    </row>
    <row r="313" spans="1:11">
      <c r="A313" s="1">
        <v>45268</v>
      </c>
      <c r="B313" t="s">
        <v>61</v>
      </c>
      <c r="C313" t="s">
        <v>6</v>
      </c>
      <c r="D313" t="s">
        <v>73</v>
      </c>
      <c r="E313">
        <v>6</v>
      </c>
      <c r="F313">
        <v>474.29</v>
      </c>
      <c r="G313" t="s">
        <v>13</v>
      </c>
      <c r="H313" t="s">
        <v>67</v>
      </c>
      <c r="I313">
        <v>2845.74</v>
      </c>
      <c r="J313">
        <f>Tabela1[[#This Row],[Valor Total]]/Tabela1[[#This Row],[Quantidade]]</f>
        <v>474.28999999999996</v>
      </c>
      <c r="K313" t="str">
        <f>TEXT(Tabela1[[#This Row],[Data]],"aaaa-mm")</f>
        <v>2023-12</v>
      </c>
    </row>
    <row r="314" spans="1:11">
      <c r="A314" s="1">
        <v>45270</v>
      </c>
      <c r="B314" t="s">
        <v>74</v>
      </c>
      <c r="C314" t="s">
        <v>7</v>
      </c>
      <c r="D314" t="s">
        <v>65</v>
      </c>
      <c r="E314">
        <v>4</v>
      </c>
      <c r="F314">
        <v>25.93</v>
      </c>
      <c r="G314" t="s">
        <v>14</v>
      </c>
      <c r="H314" t="s">
        <v>64</v>
      </c>
      <c r="I314">
        <v>103.72</v>
      </c>
      <c r="J314">
        <f>Tabela1[[#This Row],[Valor Total]]/Tabela1[[#This Row],[Quantidade]]</f>
        <v>25.93</v>
      </c>
      <c r="K314" t="str">
        <f>TEXT(Tabela1[[#This Row],[Data]],"aaaa-mm")</f>
        <v>2023-12</v>
      </c>
    </row>
    <row r="315" spans="1:11">
      <c r="A315" s="1">
        <v>45271</v>
      </c>
      <c r="B315" t="s">
        <v>61</v>
      </c>
      <c r="C315" t="s">
        <v>8</v>
      </c>
      <c r="D315" t="s">
        <v>66</v>
      </c>
      <c r="E315">
        <v>7</v>
      </c>
      <c r="F315">
        <v>231.55</v>
      </c>
      <c r="G315" t="s">
        <v>14</v>
      </c>
      <c r="H315" t="s">
        <v>71</v>
      </c>
      <c r="I315">
        <v>1620.85</v>
      </c>
      <c r="J315">
        <f>Tabela1[[#This Row],[Valor Total]]/Tabela1[[#This Row],[Quantidade]]</f>
        <v>231.54999999999998</v>
      </c>
      <c r="K315" t="str">
        <f>TEXT(Tabela1[[#This Row],[Data]],"aaaa-mm")</f>
        <v>2023-12</v>
      </c>
    </row>
    <row r="316" spans="1:11">
      <c r="A316" s="1">
        <v>45272</v>
      </c>
      <c r="B316" t="s">
        <v>61</v>
      </c>
      <c r="C316" t="s">
        <v>4</v>
      </c>
      <c r="D316" t="s">
        <v>62</v>
      </c>
      <c r="E316">
        <v>6</v>
      </c>
      <c r="F316">
        <v>258.76</v>
      </c>
      <c r="G316" t="s">
        <v>13</v>
      </c>
      <c r="H316" t="s">
        <v>63</v>
      </c>
      <c r="I316">
        <v>1552.56</v>
      </c>
      <c r="J316">
        <f>Tabela1[[#This Row],[Valor Total]]/Tabela1[[#This Row],[Quantidade]]</f>
        <v>258.76</v>
      </c>
      <c r="K316" t="str">
        <f>TEXT(Tabela1[[#This Row],[Data]],"aaaa-mm")</f>
        <v>2023-12</v>
      </c>
    </row>
    <row r="317" spans="1:11">
      <c r="A317" s="1">
        <v>45273</v>
      </c>
      <c r="B317" t="s">
        <v>68</v>
      </c>
      <c r="C317" t="s">
        <v>6</v>
      </c>
      <c r="D317" t="s">
        <v>66</v>
      </c>
      <c r="E317">
        <v>3</v>
      </c>
      <c r="F317">
        <v>29.25</v>
      </c>
      <c r="G317" t="s">
        <v>12</v>
      </c>
      <c r="H317" t="s">
        <v>67</v>
      </c>
      <c r="I317">
        <v>87.75</v>
      </c>
      <c r="J317">
        <f>Tabela1[[#This Row],[Valor Total]]/Tabela1[[#This Row],[Quantidade]]</f>
        <v>29.25</v>
      </c>
      <c r="K317" t="str">
        <f>TEXT(Tabela1[[#This Row],[Data]],"aaaa-mm")</f>
        <v>2023-12</v>
      </c>
    </row>
    <row r="318" spans="1:11">
      <c r="A318" s="1">
        <v>45274</v>
      </c>
      <c r="B318" t="s">
        <v>72</v>
      </c>
      <c r="C318" t="s">
        <v>6</v>
      </c>
      <c r="D318" t="s">
        <v>65</v>
      </c>
      <c r="E318">
        <v>2</v>
      </c>
      <c r="F318">
        <v>238.94</v>
      </c>
      <c r="G318" t="s">
        <v>13</v>
      </c>
      <c r="H318" t="s">
        <v>67</v>
      </c>
      <c r="I318">
        <v>477.88</v>
      </c>
      <c r="J318">
        <f>Tabela1[[#This Row],[Valor Total]]/Tabela1[[#This Row],[Quantidade]]</f>
        <v>238.94</v>
      </c>
      <c r="K318" t="str">
        <f>TEXT(Tabela1[[#This Row],[Data]],"aaaa-mm")</f>
        <v>2023-12</v>
      </c>
    </row>
    <row r="319" spans="1:11">
      <c r="A319" s="1">
        <v>45275</v>
      </c>
      <c r="B319" t="s">
        <v>74</v>
      </c>
      <c r="C319" t="s">
        <v>4</v>
      </c>
      <c r="D319" t="s">
        <v>65</v>
      </c>
      <c r="E319">
        <v>3</v>
      </c>
      <c r="F319">
        <v>305.2</v>
      </c>
      <c r="G319" t="s">
        <v>14</v>
      </c>
      <c r="H319" t="s">
        <v>67</v>
      </c>
      <c r="I319">
        <v>915.59999999999991</v>
      </c>
      <c r="J319">
        <f>Tabela1[[#This Row],[Valor Total]]/Tabela1[[#This Row],[Quantidade]]</f>
        <v>305.2</v>
      </c>
      <c r="K319" t="str">
        <f>TEXT(Tabela1[[#This Row],[Data]],"aaaa-mm")</f>
        <v>2023-12</v>
      </c>
    </row>
    <row r="320" spans="1:11">
      <c r="A320" s="1">
        <v>45276</v>
      </c>
      <c r="B320" t="s">
        <v>61</v>
      </c>
      <c r="C320" t="s">
        <v>5</v>
      </c>
      <c r="D320" t="s">
        <v>73</v>
      </c>
      <c r="E320">
        <v>1</v>
      </c>
      <c r="F320">
        <v>362.65</v>
      </c>
      <c r="G320" t="s">
        <v>12</v>
      </c>
      <c r="H320" t="s">
        <v>64</v>
      </c>
      <c r="I320">
        <v>362.65</v>
      </c>
      <c r="J320">
        <f>Tabela1[[#This Row],[Valor Total]]/Tabela1[[#This Row],[Quantidade]]</f>
        <v>362.65</v>
      </c>
      <c r="K320" t="str">
        <f>TEXT(Tabela1[[#This Row],[Data]],"aaaa-mm")</f>
        <v>2023-12</v>
      </c>
    </row>
    <row r="321" spans="1:11">
      <c r="A321" s="1">
        <v>45277</v>
      </c>
      <c r="B321" t="s">
        <v>68</v>
      </c>
      <c r="C321" t="s">
        <v>7</v>
      </c>
      <c r="D321" t="s">
        <v>65</v>
      </c>
      <c r="E321">
        <v>4</v>
      </c>
      <c r="F321">
        <v>274.64999999999998</v>
      </c>
      <c r="G321" t="s">
        <v>15</v>
      </c>
      <c r="H321" t="s">
        <v>64</v>
      </c>
      <c r="I321">
        <v>1098.5999999999999</v>
      </c>
      <c r="J321">
        <f>Tabela1[[#This Row],[Valor Total]]/Tabela1[[#This Row],[Quantidade]]</f>
        <v>274.64999999999998</v>
      </c>
      <c r="K321" t="str">
        <f>TEXT(Tabela1[[#This Row],[Data]],"aaaa-mm")</f>
        <v>2023-12</v>
      </c>
    </row>
    <row r="322" spans="1:11">
      <c r="A322" s="1">
        <v>45278</v>
      </c>
      <c r="B322" t="s">
        <v>74</v>
      </c>
      <c r="C322" t="s">
        <v>8</v>
      </c>
      <c r="D322" t="s">
        <v>70</v>
      </c>
      <c r="E322">
        <v>5</v>
      </c>
      <c r="F322">
        <v>472.94</v>
      </c>
      <c r="G322" t="s">
        <v>14</v>
      </c>
      <c r="H322" t="s">
        <v>71</v>
      </c>
      <c r="I322">
        <v>2364.6999999999998</v>
      </c>
      <c r="J322">
        <f>Tabela1[[#This Row],[Valor Total]]/Tabela1[[#This Row],[Quantidade]]</f>
        <v>472.93999999999994</v>
      </c>
      <c r="K322" t="str">
        <f>TEXT(Tabela1[[#This Row],[Data]],"aaaa-mm")</f>
        <v>2023-12</v>
      </c>
    </row>
    <row r="323" spans="1:11">
      <c r="A323" s="1">
        <v>45279</v>
      </c>
      <c r="B323" t="s">
        <v>68</v>
      </c>
      <c r="C323" t="s">
        <v>8</v>
      </c>
      <c r="D323" t="s">
        <v>66</v>
      </c>
      <c r="E323">
        <v>3</v>
      </c>
      <c r="F323">
        <v>134.16</v>
      </c>
      <c r="G323" t="s">
        <v>11</v>
      </c>
      <c r="H323" t="s">
        <v>63</v>
      </c>
      <c r="I323">
        <v>402.48</v>
      </c>
      <c r="J323">
        <f>Tabela1[[#This Row],[Valor Total]]/Tabela1[[#This Row],[Quantidade]]</f>
        <v>134.16</v>
      </c>
      <c r="K323" t="str">
        <f>TEXT(Tabela1[[#This Row],[Data]],"aaaa-mm")</f>
        <v>2023-12</v>
      </c>
    </row>
    <row r="324" spans="1:11">
      <c r="A324" s="1">
        <v>45281</v>
      </c>
      <c r="B324" t="s">
        <v>69</v>
      </c>
      <c r="C324" t="s">
        <v>4</v>
      </c>
      <c r="D324" t="s">
        <v>65</v>
      </c>
      <c r="E324">
        <v>4</v>
      </c>
      <c r="F324">
        <v>263.99</v>
      </c>
      <c r="G324" t="s">
        <v>11</v>
      </c>
      <c r="H324" t="s">
        <v>64</v>
      </c>
      <c r="I324">
        <v>1055.96</v>
      </c>
      <c r="J324">
        <f>Tabela1[[#This Row],[Valor Total]]/Tabela1[[#This Row],[Quantidade]]</f>
        <v>263.99</v>
      </c>
      <c r="K324" t="str">
        <f>TEXT(Tabela1[[#This Row],[Data]],"aaaa-mm")</f>
        <v>2023-12</v>
      </c>
    </row>
    <row r="325" spans="1:11">
      <c r="A325" s="1">
        <v>45282</v>
      </c>
      <c r="B325" t="s">
        <v>68</v>
      </c>
      <c r="C325" t="s">
        <v>5</v>
      </c>
      <c r="D325" t="s">
        <v>62</v>
      </c>
      <c r="E325">
        <v>6</v>
      </c>
      <c r="F325">
        <v>93.95</v>
      </c>
      <c r="G325" t="s">
        <v>12</v>
      </c>
      <c r="H325" t="s">
        <v>71</v>
      </c>
      <c r="I325">
        <v>563.70000000000005</v>
      </c>
      <c r="J325">
        <f>Tabela1[[#This Row],[Valor Total]]/Tabela1[[#This Row],[Quantidade]]</f>
        <v>93.95</v>
      </c>
      <c r="K325" t="str">
        <f>TEXT(Tabela1[[#This Row],[Data]],"aaaa-mm")</f>
        <v>2023-12</v>
      </c>
    </row>
    <row r="326" spans="1:11">
      <c r="A326" s="1">
        <v>45283</v>
      </c>
      <c r="B326" t="s">
        <v>61</v>
      </c>
      <c r="C326" t="s">
        <v>7</v>
      </c>
      <c r="D326" t="s">
        <v>70</v>
      </c>
      <c r="E326">
        <v>8</v>
      </c>
      <c r="F326">
        <v>493.81</v>
      </c>
      <c r="G326" t="s">
        <v>15</v>
      </c>
      <c r="H326" t="s">
        <v>63</v>
      </c>
      <c r="I326">
        <v>3950.48</v>
      </c>
      <c r="J326">
        <f>Tabela1[[#This Row],[Valor Total]]/Tabela1[[#This Row],[Quantidade]]</f>
        <v>493.81</v>
      </c>
      <c r="K326" t="str">
        <f>TEXT(Tabela1[[#This Row],[Data]],"aaaa-mm")</f>
        <v>2023-12</v>
      </c>
    </row>
    <row r="327" spans="1:11">
      <c r="A327" s="1">
        <v>45284</v>
      </c>
      <c r="B327" t="s">
        <v>72</v>
      </c>
      <c r="C327" t="s">
        <v>4</v>
      </c>
      <c r="D327" t="s">
        <v>66</v>
      </c>
      <c r="E327">
        <v>4</v>
      </c>
      <c r="F327">
        <v>315.27999999999997</v>
      </c>
      <c r="G327" t="s">
        <v>15</v>
      </c>
      <c r="H327" t="s">
        <v>71</v>
      </c>
      <c r="I327">
        <v>1261.1199999999999</v>
      </c>
      <c r="J327">
        <f>Tabela1[[#This Row],[Valor Total]]/Tabela1[[#This Row],[Quantidade]]</f>
        <v>315.27999999999997</v>
      </c>
      <c r="K327" t="str">
        <f>TEXT(Tabela1[[#This Row],[Data]],"aaaa-mm")</f>
        <v>2023-12</v>
      </c>
    </row>
    <row r="328" spans="1:11">
      <c r="A328" s="1">
        <v>45285</v>
      </c>
      <c r="B328" t="s">
        <v>74</v>
      </c>
      <c r="C328" t="s">
        <v>4</v>
      </c>
      <c r="D328" t="s">
        <v>62</v>
      </c>
      <c r="E328">
        <v>1</v>
      </c>
      <c r="F328">
        <v>279.24</v>
      </c>
      <c r="G328" t="s">
        <v>13</v>
      </c>
      <c r="H328" t="s">
        <v>71</v>
      </c>
      <c r="I328">
        <v>279.24</v>
      </c>
      <c r="J328">
        <f>Tabela1[[#This Row],[Valor Total]]/Tabela1[[#This Row],[Quantidade]]</f>
        <v>279.24</v>
      </c>
      <c r="K328" t="str">
        <f>TEXT(Tabela1[[#This Row],[Data]],"aaaa-mm")</f>
        <v>2023-12</v>
      </c>
    </row>
    <row r="329" spans="1:11">
      <c r="A329" s="1">
        <v>45286</v>
      </c>
      <c r="B329" t="s">
        <v>72</v>
      </c>
      <c r="C329" t="s">
        <v>7</v>
      </c>
      <c r="D329" t="s">
        <v>70</v>
      </c>
      <c r="E329">
        <v>6</v>
      </c>
      <c r="F329">
        <v>283.79000000000002</v>
      </c>
      <c r="G329" t="s">
        <v>14</v>
      </c>
      <c r="H329" t="s">
        <v>64</v>
      </c>
      <c r="I329">
        <v>1702.74</v>
      </c>
      <c r="J329">
        <f>Tabela1[[#This Row],[Valor Total]]/Tabela1[[#This Row],[Quantidade]]</f>
        <v>283.79000000000002</v>
      </c>
      <c r="K329" t="str">
        <f>TEXT(Tabela1[[#This Row],[Data]],"aaaa-mm")</f>
        <v>2023-12</v>
      </c>
    </row>
    <row r="330" spans="1:11">
      <c r="A330" s="1">
        <v>45287</v>
      </c>
      <c r="B330" t="s">
        <v>74</v>
      </c>
      <c r="C330" t="s">
        <v>7</v>
      </c>
      <c r="D330" t="s">
        <v>65</v>
      </c>
      <c r="E330">
        <v>3</v>
      </c>
      <c r="F330">
        <v>365.81</v>
      </c>
      <c r="G330" t="s">
        <v>14</v>
      </c>
      <c r="H330" t="s">
        <v>67</v>
      </c>
      <c r="I330">
        <v>1097.43</v>
      </c>
      <c r="J330">
        <f>Tabela1[[#This Row],[Valor Total]]/Tabela1[[#This Row],[Quantidade]]</f>
        <v>365.81</v>
      </c>
      <c r="K330" t="str">
        <f>TEXT(Tabela1[[#This Row],[Data]],"aaaa-mm")</f>
        <v>2023-12</v>
      </c>
    </row>
    <row r="331" spans="1:11">
      <c r="A331" s="1">
        <v>45288</v>
      </c>
      <c r="B331" t="s">
        <v>61</v>
      </c>
      <c r="C331" t="s">
        <v>8</v>
      </c>
      <c r="D331" t="s">
        <v>66</v>
      </c>
      <c r="E331">
        <v>3</v>
      </c>
      <c r="F331">
        <v>193.88</v>
      </c>
      <c r="G331" t="s">
        <v>12</v>
      </c>
      <c r="H331" t="s">
        <v>63</v>
      </c>
      <c r="I331">
        <v>581.64</v>
      </c>
      <c r="J331">
        <f>Tabela1[[#This Row],[Valor Total]]/Tabela1[[#This Row],[Quantidade]]</f>
        <v>193.88</v>
      </c>
      <c r="K331" t="str">
        <f>TEXT(Tabela1[[#This Row],[Data]],"aaaa-mm")</f>
        <v>2023-12</v>
      </c>
    </row>
    <row r="332" spans="1:11">
      <c r="A332" s="1">
        <v>45289</v>
      </c>
      <c r="B332" t="s">
        <v>61</v>
      </c>
      <c r="C332" t="s">
        <v>4</v>
      </c>
      <c r="D332" t="s">
        <v>70</v>
      </c>
      <c r="E332">
        <v>1</v>
      </c>
      <c r="F332">
        <v>345.58</v>
      </c>
      <c r="G332" t="s">
        <v>12</v>
      </c>
      <c r="H332" t="s">
        <v>64</v>
      </c>
      <c r="I332">
        <v>345.58</v>
      </c>
      <c r="J332">
        <f>Tabela1[[#This Row],[Valor Total]]/Tabela1[[#This Row],[Quantidade]]</f>
        <v>345.58</v>
      </c>
      <c r="K332" t="str">
        <f>TEXT(Tabela1[[#This Row],[Data]],"aaaa-mm")</f>
        <v>2023-12</v>
      </c>
    </row>
    <row r="333" spans="1:11">
      <c r="A333" s="1">
        <v>45290</v>
      </c>
      <c r="B333" t="s">
        <v>61</v>
      </c>
      <c r="C333" t="s">
        <v>7</v>
      </c>
      <c r="D333" t="s">
        <v>73</v>
      </c>
      <c r="E333">
        <v>8</v>
      </c>
      <c r="F333">
        <v>284.06</v>
      </c>
      <c r="G333" t="s">
        <v>13</v>
      </c>
      <c r="H333" t="s">
        <v>64</v>
      </c>
      <c r="I333">
        <v>2272.48</v>
      </c>
      <c r="J333">
        <f>Tabela1[[#This Row],[Valor Total]]/Tabela1[[#This Row],[Quantidade]]</f>
        <v>284.06</v>
      </c>
      <c r="K333" t="str">
        <f>TEXT(Tabela1[[#This Row],[Data]],"aaaa-mm")</f>
        <v>2023-12</v>
      </c>
    </row>
    <row r="334" spans="1:11">
      <c r="A334" s="1">
        <v>45292</v>
      </c>
      <c r="B334" t="s">
        <v>61</v>
      </c>
      <c r="C334" t="s">
        <v>6</v>
      </c>
      <c r="D334" t="s">
        <v>62</v>
      </c>
      <c r="E334">
        <v>3</v>
      </c>
      <c r="F334">
        <v>28.81</v>
      </c>
      <c r="G334" t="s">
        <v>11</v>
      </c>
      <c r="H334" t="s">
        <v>63</v>
      </c>
      <c r="I334">
        <v>86.429999999999993</v>
      </c>
      <c r="J334">
        <f>Tabela1[[#This Row],[Valor Total]]/Tabela1[[#This Row],[Quantidade]]</f>
        <v>28.81</v>
      </c>
      <c r="K334" t="str">
        <f>TEXT(Tabela1[[#This Row],[Data]],"aaaa-mm")</f>
        <v>2024-01</v>
      </c>
    </row>
    <row r="335" spans="1:11">
      <c r="A335" s="1">
        <v>45293</v>
      </c>
      <c r="B335" t="s">
        <v>72</v>
      </c>
      <c r="C335" t="s">
        <v>8</v>
      </c>
      <c r="D335" t="s">
        <v>62</v>
      </c>
      <c r="E335">
        <v>5</v>
      </c>
      <c r="F335">
        <v>75.930000000000007</v>
      </c>
      <c r="G335" t="s">
        <v>14</v>
      </c>
      <c r="H335" t="s">
        <v>71</v>
      </c>
      <c r="I335">
        <v>379.65</v>
      </c>
      <c r="J335">
        <f>Tabela1[[#This Row],[Valor Total]]/Tabela1[[#This Row],[Quantidade]]</f>
        <v>75.929999999999993</v>
      </c>
      <c r="K335" t="str">
        <f>TEXT(Tabela1[[#This Row],[Data]],"aaaa-mm")</f>
        <v>2024-01</v>
      </c>
    </row>
    <row r="336" spans="1:11">
      <c r="A336" s="1">
        <v>45294</v>
      </c>
      <c r="B336" t="s">
        <v>61</v>
      </c>
      <c r="C336" t="s">
        <v>7</v>
      </c>
      <c r="D336" t="s">
        <v>66</v>
      </c>
      <c r="E336">
        <v>7</v>
      </c>
      <c r="F336">
        <v>77.540000000000006</v>
      </c>
      <c r="G336" t="s">
        <v>14</v>
      </c>
      <c r="H336" t="s">
        <v>64</v>
      </c>
      <c r="I336">
        <v>542.78000000000009</v>
      </c>
      <c r="J336">
        <f>Tabela1[[#This Row],[Valor Total]]/Tabela1[[#This Row],[Quantidade]]</f>
        <v>77.540000000000006</v>
      </c>
      <c r="K336" t="str">
        <f>TEXT(Tabela1[[#This Row],[Data]],"aaaa-mm")</f>
        <v>2024-01</v>
      </c>
    </row>
    <row r="337" spans="1:11">
      <c r="A337" s="1">
        <v>45295</v>
      </c>
      <c r="B337" t="s">
        <v>72</v>
      </c>
      <c r="C337" t="s">
        <v>7</v>
      </c>
      <c r="D337" t="s">
        <v>65</v>
      </c>
      <c r="E337">
        <v>7</v>
      </c>
      <c r="F337">
        <v>78.78</v>
      </c>
      <c r="G337" t="s">
        <v>13</v>
      </c>
      <c r="H337" t="s">
        <v>64</v>
      </c>
      <c r="I337">
        <v>551.46</v>
      </c>
      <c r="J337">
        <f>Tabela1[[#This Row],[Valor Total]]/Tabela1[[#This Row],[Quantidade]]</f>
        <v>78.78</v>
      </c>
      <c r="K337" t="str">
        <f>TEXT(Tabela1[[#This Row],[Data]],"aaaa-mm")</f>
        <v>2024-01</v>
      </c>
    </row>
    <row r="338" spans="1:11">
      <c r="A338" s="1">
        <v>45296</v>
      </c>
      <c r="B338" t="s">
        <v>68</v>
      </c>
      <c r="C338" t="s">
        <v>8</v>
      </c>
      <c r="D338" t="s">
        <v>65</v>
      </c>
      <c r="E338">
        <v>1</v>
      </c>
      <c r="F338">
        <v>134.54</v>
      </c>
      <c r="G338" t="s">
        <v>15</v>
      </c>
      <c r="H338" t="s">
        <v>63</v>
      </c>
      <c r="I338">
        <v>134.54</v>
      </c>
      <c r="J338">
        <f>Tabela1[[#This Row],[Valor Total]]/Tabela1[[#This Row],[Quantidade]]</f>
        <v>134.54</v>
      </c>
      <c r="K338" t="str">
        <f>TEXT(Tabela1[[#This Row],[Data]],"aaaa-mm")</f>
        <v>2024-01</v>
      </c>
    </row>
    <row r="339" spans="1:11">
      <c r="A339" s="1">
        <v>45297</v>
      </c>
      <c r="B339" t="s">
        <v>69</v>
      </c>
      <c r="C339" t="s">
        <v>7</v>
      </c>
      <c r="D339" t="s">
        <v>70</v>
      </c>
      <c r="E339">
        <v>1</v>
      </c>
      <c r="F339">
        <v>244.71</v>
      </c>
      <c r="G339" t="s">
        <v>11</v>
      </c>
      <c r="H339" t="s">
        <v>71</v>
      </c>
      <c r="I339">
        <v>244.71</v>
      </c>
      <c r="J339">
        <f>Tabela1[[#This Row],[Valor Total]]/Tabela1[[#This Row],[Quantidade]]</f>
        <v>244.71</v>
      </c>
      <c r="K339" t="str">
        <f>TEXT(Tabela1[[#This Row],[Data]],"aaaa-mm")</f>
        <v>2024-01</v>
      </c>
    </row>
    <row r="340" spans="1:11">
      <c r="A340" s="1">
        <v>45298</v>
      </c>
      <c r="B340" t="s">
        <v>72</v>
      </c>
      <c r="C340" t="s">
        <v>8</v>
      </c>
      <c r="D340" t="s">
        <v>65</v>
      </c>
      <c r="E340">
        <v>1</v>
      </c>
      <c r="F340">
        <v>52.34</v>
      </c>
      <c r="G340" t="s">
        <v>11</v>
      </c>
      <c r="H340" t="s">
        <v>63</v>
      </c>
      <c r="I340">
        <v>52.34</v>
      </c>
      <c r="J340">
        <f>Tabela1[[#This Row],[Valor Total]]/Tabela1[[#This Row],[Quantidade]]</f>
        <v>52.34</v>
      </c>
      <c r="K340" t="str">
        <f>TEXT(Tabela1[[#This Row],[Data]],"aaaa-mm")</f>
        <v>2024-01</v>
      </c>
    </row>
    <row r="341" spans="1:11">
      <c r="A341" s="1">
        <v>45299</v>
      </c>
      <c r="B341" t="s">
        <v>72</v>
      </c>
      <c r="C341" t="s">
        <v>7</v>
      </c>
      <c r="D341" t="s">
        <v>73</v>
      </c>
      <c r="E341">
        <v>8</v>
      </c>
      <c r="F341">
        <v>465.07</v>
      </c>
      <c r="G341" t="s">
        <v>11</v>
      </c>
      <c r="H341" t="s">
        <v>67</v>
      </c>
      <c r="I341">
        <v>3720.56</v>
      </c>
      <c r="J341">
        <f>Tabela1[[#This Row],[Valor Total]]/Tabela1[[#This Row],[Quantidade]]</f>
        <v>465.07</v>
      </c>
      <c r="K341" t="str">
        <f>TEXT(Tabela1[[#This Row],[Data]],"aaaa-mm")</f>
        <v>2024-01</v>
      </c>
    </row>
    <row r="342" spans="1:11">
      <c r="A342" s="1">
        <v>45300</v>
      </c>
      <c r="B342" t="s">
        <v>68</v>
      </c>
      <c r="C342" t="s">
        <v>5</v>
      </c>
      <c r="D342" t="s">
        <v>65</v>
      </c>
      <c r="E342">
        <v>3</v>
      </c>
      <c r="F342">
        <v>26.28</v>
      </c>
      <c r="G342" t="s">
        <v>13</v>
      </c>
      <c r="H342" t="s">
        <v>64</v>
      </c>
      <c r="I342">
        <v>78.84</v>
      </c>
      <c r="J342">
        <f>Tabela1[[#This Row],[Valor Total]]/Tabela1[[#This Row],[Quantidade]]</f>
        <v>26.28</v>
      </c>
      <c r="K342" t="str">
        <f>TEXT(Tabela1[[#This Row],[Data]],"aaaa-mm")</f>
        <v>2024-01</v>
      </c>
    </row>
    <row r="343" spans="1:11">
      <c r="A343" s="1">
        <v>45301</v>
      </c>
      <c r="B343" t="s">
        <v>68</v>
      </c>
      <c r="C343" t="s">
        <v>5</v>
      </c>
      <c r="D343" t="s">
        <v>65</v>
      </c>
      <c r="E343">
        <v>8</v>
      </c>
      <c r="F343">
        <v>80.05</v>
      </c>
      <c r="G343" t="s">
        <v>12</v>
      </c>
      <c r="H343" t="s">
        <v>64</v>
      </c>
      <c r="I343">
        <v>640.4</v>
      </c>
      <c r="J343">
        <f>Tabela1[[#This Row],[Valor Total]]/Tabela1[[#This Row],[Quantidade]]</f>
        <v>80.05</v>
      </c>
      <c r="K343" t="str">
        <f>TEXT(Tabela1[[#This Row],[Data]],"aaaa-mm")</f>
        <v>2024-01</v>
      </c>
    </row>
    <row r="344" spans="1:11">
      <c r="A344" s="1">
        <v>45302</v>
      </c>
      <c r="B344" t="s">
        <v>72</v>
      </c>
      <c r="C344" t="s">
        <v>7</v>
      </c>
      <c r="D344" t="s">
        <v>62</v>
      </c>
      <c r="E344">
        <v>4</v>
      </c>
      <c r="F344">
        <v>170.75</v>
      </c>
      <c r="G344" t="s">
        <v>12</v>
      </c>
      <c r="H344" t="s">
        <v>71</v>
      </c>
      <c r="I344">
        <v>683</v>
      </c>
      <c r="J344">
        <f>Tabela1[[#This Row],[Valor Total]]/Tabela1[[#This Row],[Quantidade]]</f>
        <v>170.75</v>
      </c>
      <c r="K344" t="str">
        <f>TEXT(Tabela1[[#This Row],[Data]],"aaaa-mm")</f>
        <v>2024-01</v>
      </c>
    </row>
    <row r="345" spans="1:11">
      <c r="A345" s="1">
        <v>45304</v>
      </c>
      <c r="B345" t="s">
        <v>61</v>
      </c>
      <c r="C345" t="s">
        <v>4</v>
      </c>
      <c r="D345" t="s">
        <v>70</v>
      </c>
      <c r="E345">
        <v>9</v>
      </c>
      <c r="F345">
        <v>154.82</v>
      </c>
      <c r="G345" t="s">
        <v>14</v>
      </c>
      <c r="H345" t="s">
        <v>71</v>
      </c>
      <c r="I345">
        <v>1393.38</v>
      </c>
      <c r="J345">
        <f>Tabela1[[#This Row],[Valor Total]]/Tabela1[[#This Row],[Quantidade]]</f>
        <v>154.82000000000002</v>
      </c>
      <c r="K345" t="str">
        <f>TEXT(Tabela1[[#This Row],[Data]],"aaaa-mm")</f>
        <v>2024-01</v>
      </c>
    </row>
    <row r="346" spans="1:11">
      <c r="A346" s="1">
        <v>45305</v>
      </c>
      <c r="B346" t="s">
        <v>68</v>
      </c>
      <c r="C346" t="s">
        <v>6</v>
      </c>
      <c r="D346" t="s">
        <v>62</v>
      </c>
      <c r="E346">
        <v>4</v>
      </c>
      <c r="F346">
        <v>494.73</v>
      </c>
      <c r="G346" t="s">
        <v>14</v>
      </c>
      <c r="H346" t="s">
        <v>63</v>
      </c>
      <c r="I346">
        <v>1978.92</v>
      </c>
      <c r="J346">
        <f>Tabela1[[#This Row],[Valor Total]]/Tabela1[[#This Row],[Quantidade]]</f>
        <v>494.73</v>
      </c>
      <c r="K346" t="str">
        <f>TEXT(Tabela1[[#This Row],[Data]],"aaaa-mm")</f>
        <v>2024-01</v>
      </c>
    </row>
    <row r="347" spans="1:11">
      <c r="A347" s="1">
        <v>45306</v>
      </c>
      <c r="B347" t="s">
        <v>74</v>
      </c>
      <c r="C347" t="s">
        <v>4</v>
      </c>
      <c r="D347" t="s">
        <v>66</v>
      </c>
      <c r="E347">
        <v>7</v>
      </c>
      <c r="F347">
        <v>249.27</v>
      </c>
      <c r="G347" t="s">
        <v>13</v>
      </c>
      <c r="H347" t="s">
        <v>71</v>
      </c>
      <c r="I347">
        <v>1744.89</v>
      </c>
      <c r="J347">
        <f>Tabela1[[#This Row],[Valor Total]]/Tabela1[[#This Row],[Quantidade]]</f>
        <v>249.27</v>
      </c>
      <c r="K347" t="str">
        <f>TEXT(Tabela1[[#This Row],[Data]],"aaaa-mm")</f>
        <v>2024-01</v>
      </c>
    </row>
    <row r="348" spans="1:11">
      <c r="A348" s="1">
        <v>45307</v>
      </c>
      <c r="B348" t="s">
        <v>69</v>
      </c>
      <c r="C348" t="s">
        <v>5</v>
      </c>
      <c r="D348" t="s">
        <v>73</v>
      </c>
      <c r="E348">
        <v>1</v>
      </c>
      <c r="F348">
        <v>391.89</v>
      </c>
      <c r="G348" t="s">
        <v>13</v>
      </c>
      <c r="H348" t="s">
        <v>71</v>
      </c>
      <c r="I348">
        <v>391.89</v>
      </c>
      <c r="J348">
        <f>Tabela1[[#This Row],[Valor Total]]/Tabela1[[#This Row],[Quantidade]]</f>
        <v>391.89</v>
      </c>
      <c r="K348" t="str">
        <f>TEXT(Tabela1[[#This Row],[Data]],"aaaa-mm")</f>
        <v>2024-01</v>
      </c>
    </row>
    <row r="349" spans="1:11">
      <c r="A349" s="1">
        <v>45308</v>
      </c>
      <c r="B349" t="s">
        <v>68</v>
      </c>
      <c r="C349" t="s">
        <v>5</v>
      </c>
      <c r="D349" t="s">
        <v>62</v>
      </c>
      <c r="E349">
        <v>6</v>
      </c>
      <c r="F349">
        <v>475.92</v>
      </c>
      <c r="G349" t="s">
        <v>15</v>
      </c>
      <c r="H349" t="s">
        <v>64</v>
      </c>
      <c r="I349">
        <v>2855.52</v>
      </c>
      <c r="J349">
        <f>Tabela1[[#This Row],[Valor Total]]/Tabela1[[#This Row],[Quantidade]]</f>
        <v>475.92</v>
      </c>
      <c r="K349" t="str">
        <f>TEXT(Tabela1[[#This Row],[Data]],"aaaa-mm")</f>
        <v>2024-01</v>
      </c>
    </row>
    <row r="350" spans="1:11">
      <c r="A350" s="1">
        <v>45309</v>
      </c>
      <c r="B350" t="s">
        <v>74</v>
      </c>
      <c r="C350" t="s">
        <v>4</v>
      </c>
      <c r="D350" t="s">
        <v>62</v>
      </c>
      <c r="E350">
        <v>4</v>
      </c>
      <c r="F350">
        <v>192.31</v>
      </c>
      <c r="G350" t="s">
        <v>11</v>
      </c>
      <c r="H350" t="s">
        <v>67</v>
      </c>
      <c r="I350">
        <v>769.24</v>
      </c>
      <c r="J350">
        <f>Tabela1[[#This Row],[Valor Total]]/Tabela1[[#This Row],[Quantidade]]</f>
        <v>192.31</v>
      </c>
      <c r="K350" t="str">
        <f>TEXT(Tabela1[[#This Row],[Data]],"aaaa-mm")</f>
        <v>2024-01</v>
      </c>
    </row>
    <row r="351" spans="1:11">
      <c r="A351" s="1">
        <v>45310</v>
      </c>
      <c r="B351" t="s">
        <v>69</v>
      </c>
      <c r="C351" t="s">
        <v>4</v>
      </c>
      <c r="D351" t="s">
        <v>70</v>
      </c>
      <c r="E351">
        <v>7</v>
      </c>
      <c r="F351">
        <v>327.39</v>
      </c>
      <c r="G351" t="s">
        <v>12</v>
      </c>
      <c r="H351" t="s">
        <v>71</v>
      </c>
      <c r="I351">
        <v>2291.73</v>
      </c>
      <c r="J351">
        <f>Tabela1[[#This Row],[Valor Total]]/Tabela1[[#This Row],[Quantidade]]</f>
        <v>327.39</v>
      </c>
      <c r="K351" t="str">
        <f>TEXT(Tabela1[[#This Row],[Data]],"aaaa-mm")</f>
        <v>2024-01</v>
      </c>
    </row>
    <row r="352" spans="1:11">
      <c r="A352" s="1">
        <v>45311</v>
      </c>
      <c r="B352" t="s">
        <v>61</v>
      </c>
      <c r="C352" t="s">
        <v>6</v>
      </c>
      <c r="D352" t="s">
        <v>65</v>
      </c>
      <c r="E352">
        <v>7</v>
      </c>
      <c r="F352">
        <v>190.7</v>
      </c>
      <c r="G352" t="s">
        <v>12</v>
      </c>
      <c r="H352" t="s">
        <v>64</v>
      </c>
      <c r="I352">
        <v>1334.9</v>
      </c>
      <c r="J352">
        <f>Tabela1[[#This Row],[Valor Total]]/Tabela1[[#This Row],[Quantidade]]</f>
        <v>190.70000000000002</v>
      </c>
      <c r="K352" t="str">
        <f>TEXT(Tabela1[[#This Row],[Data]],"aaaa-mm")</f>
        <v>2024-01</v>
      </c>
    </row>
    <row r="353" spans="1:11">
      <c r="A353" s="1">
        <v>45312</v>
      </c>
      <c r="B353" t="s">
        <v>72</v>
      </c>
      <c r="C353" t="s">
        <v>5</v>
      </c>
      <c r="D353" t="s">
        <v>65</v>
      </c>
      <c r="E353">
        <v>9</v>
      </c>
      <c r="F353">
        <v>235.12</v>
      </c>
      <c r="G353" t="s">
        <v>12</v>
      </c>
      <c r="H353" t="s">
        <v>67</v>
      </c>
      <c r="I353">
        <v>2116.08</v>
      </c>
      <c r="J353">
        <f>Tabela1[[#This Row],[Valor Total]]/Tabela1[[#This Row],[Quantidade]]</f>
        <v>235.12</v>
      </c>
      <c r="K353" t="str">
        <f>TEXT(Tabela1[[#This Row],[Data]],"aaaa-mm")</f>
        <v>2024-01</v>
      </c>
    </row>
    <row r="354" spans="1:11">
      <c r="A354" s="1">
        <v>45313</v>
      </c>
      <c r="B354" t="s">
        <v>61</v>
      </c>
      <c r="C354" t="s">
        <v>7</v>
      </c>
      <c r="D354" t="s">
        <v>70</v>
      </c>
      <c r="E354">
        <v>8</v>
      </c>
      <c r="F354">
        <v>377.96</v>
      </c>
      <c r="G354" t="s">
        <v>13</v>
      </c>
      <c r="H354" t="s">
        <v>67</v>
      </c>
      <c r="I354">
        <v>3023.68</v>
      </c>
      <c r="J354">
        <f>Tabela1[[#This Row],[Valor Total]]/Tabela1[[#This Row],[Quantidade]]</f>
        <v>377.96</v>
      </c>
      <c r="K354" t="str">
        <f>TEXT(Tabela1[[#This Row],[Data]],"aaaa-mm")</f>
        <v>2024-01</v>
      </c>
    </row>
    <row r="355" spans="1:11">
      <c r="A355" s="1">
        <v>45315</v>
      </c>
      <c r="B355" t="s">
        <v>69</v>
      </c>
      <c r="C355" t="s">
        <v>4</v>
      </c>
      <c r="D355" t="s">
        <v>73</v>
      </c>
      <c r="E355">
        <v>9</v>
      </c>
      <c r="F355">
        <v>284.69</v>
      </c>
      <c r="G355" t="s">
        <v>15</v>
      </c>
      <c r="H355" t="s">
        <v>71</v>
      </c>
      <c r="I355">
        <v>2562.21</v>
      </c>
      <c r="J355">
        <f>Tabela1[[#This Row],[Valor Total]]/Tabela1[[#This Row],[Quantidade]]</f>
        <v>284.69</v>
      </c>
      <c r="K355" t="str">
        <f>TEXT(Tabela1[[#This Row],[Data]],"aaaa-mm")</f>
        <v>2024-01</v>
      </c>
    </row>
    <row r="356" spans="1:11">
      <c r="A356" s="1">
        <v>45316</v>
      </c>
      <c r="B356" t="s">
        <v>61</v>
      </c>
      <c r="C356" t="s">
        <v>5</v>
      </c>
      <c r="D356" t="s">
        <v>73</v>
      </c>
      <c r="E356">
        <v>8</v>
      </c>
      <c r="F356">
        <v>327.38</v>
      </c>
      <c r="G356" t="s">
        <v>11</v>
      </c>
      <c r="H356" t="s">
        <v>64</v>
      </c>
      <c r="I356">
        <v>2619.04</v>
      </c>
      <c r="J356">
        <f>Tabela1[[#This Row],[Valor Total]]/Tabela1[[#This Row],[Quantidade]]</f>
        <v>327.38</v>
      </c>
      <c r="K356" t="str">
        <f>TEXT(Tabela1[[#This Row],[Data]],"aaaa-mm")</f>
        <v>2024-01</v>
      </c>
    </row>
    <row r="357" spans="1:11">
      <c r="A357" s="1">
        <v>45317</v>
      </c>
      <c r="B357" t="s">
        <v>69</v>
      </c>
      <c r="C357" t="s">
        <v>6</v>
      </c>
      <c r="D357" t="s">
        <v>73</v>
      </c>
      <c r="E357">
        <v>1</v>
      </c>
      <c r="F357">
        <v>213.74</v>
      </c>
      <c r="G357" t="s">
        <v>12</v>
      </c>
      <c r="H357" t="s">
        <v>63</v>
      </c>
      <c r="I357">
        <v>213.74</v>
      </c>
      <c r="J357">
        <f>Tabela1[[#This Row],[Valor Total]]/Tabela1[[#This Row],[Quantidade]]</f>
        <v>213.74</v>
      </c>
      <c r="K357" t="str">
        <f>TEXT(Tabela1[[#This Row],[Data]],"aaaa-mm")</f>
        <v>2024-01</v>
      </c>
    </row>
    <row r="358" spans="1:11">
      <c r="A358" s="1">
        <v>45318</v>
      </c>
      <c r="B358" t="s">
        <v>61</v>
      </c>
      <c r="C358" t="s">
        <v>6</v>
      </c>
      <c r="D358" t="s">
        <v>73</v>
      </c>
      <c r="E358">
        <v>3</v>
      </c>
      <c r="F358">
        <v>370.7</v>
      </c>
      <c r="G358" t="s">
        <v>14</v>
      </c>
      <c r="H358" t="s">
        <v>63</v>
      </c>
      <c r="I358">
        <v>1112.0999999999999</v>
      </c>
      <c r="J358">
        <f>Tabela1[[#This Row],[Valor Total]]/Tabela1[[#This Row],[Quantidade]]</f>
        <v>370.7</v>
      </c>
      <c r="K358" t="str">
        <f>TEXT(Tabela1[[#This Row],[Data]],"aaaa-mm")</f>
        <v>2024-01</v>
      </c>
    </row>
    <row r="359" spans="1:11">
      <c r="A359" s="1">
        <v>45319</v>
      </c>
      <c r="B359" t="s">
        <v>61</v>
      </c>
      <c r="C359" t="s">
        <v>6</v>
      </c>
      <c r="D359" t="s">
        <v>70</v>
      </c>
      <c r="E359">
        <v>6</v>
      </c>
      <c r="F359">
        <v>394.55</v>
      </c>
      <c r="G359" t="s">
        <v>12</v>
      </c>
      <c r="H359" t="s">
        <v>67</v>
      </c>
      <c r="I359">
        <v>2367.3000000000002</v>
      </c>
      <c r="J359">
        <f>Tabela1[[#This Row],[Valor Total]]/Tabela1[[#This Row],[Quantidade]]</f>
        <v>394.55</v>
      </c>
      <c r="K359" t="str">
        <f>TEXT(Tabela1[[#This Row],[Data]],"aaaa-mm")</f>
        <v>2024-01</v>
      </c>
    </row>
    <row r="360" spans="1:11">
      <c r="A360" s="1">
        <v>45320</v>
      </c>
      <c r="B360" t="s">
        <v>61</v>
      </c>
      <c r="C360" t="s">
        <v>6</v>
      </c>
      <c r="D360" t="s">
        <v>66</v>
      </c>
      <c r="E360">
        <v>3</v>
      </c>
      <c r="F360">
        <v>120.95</v>
      </c>
      <c r="G360" t="s">
        <v>11</v>
      </c>
      <c r="H360" t="s">
        <v>64</v>
      </c>
      <c r="I360">
        <v>362.85</v>
      </c>
      <c r="J360">
        <f>Tabela1[[#This Row],[Valor Total]]/Tabela1[[#This Row],[Quantidade]]</f>
        <v>120.95</v>
      </c>
      <c r="K360" t="str">
        <f>TEXT(Tabela1[[#This Row],[Data]],"aaaa-mm")</f>
        <v>2024-01</v>
      </c>
    </row>
    <row r="361" spans="1:11">
      <c r="A361" s="1">
        <v>45321</v>
      </c>
      <c r="B361" t="s">
        <v>61</v>
      </c>
      <c r="C361" t="s">
        <v>6</v>
      </c>
      <c r="D361" t="s">
        <v>66</v>
      </c>
      <c r="E361">
        <v>6</v>
      </c>
      <c r="F361">
        <v>73.400000000000006</v>
      </c>
      <c r="G361" t="s">
        <v>14</v>
      </c>
      <c r="H361" t="s">
        <v>71</v>
      </c>
      <c r="I361">
        <v>440.4</v>
      </c>
      <c r="J361">
        <f>Tabela1[[#This Row],[Valor Total]]/Tabela1[[#This Row],[Quantidade]]</f>
        <v>73.399999999999991</v>
      </c>
      <c r="K361" t="str">
        <f>TEXT(Tabela1[[#This Row],[Data]],"aaaa-mm")</f>
        <v>2024-01</v>
      </c>
    </row>
    <row r="362" spans="1:11">
      <c r="A362" s="1">
        <v>45322</v>
      </c>
      <c r="B362" t="s">
        <v>69</v>
      </c>
      <c r="C362" t="s">
        <v>7</v>
      </c>
      <c r="D362" t="s">
        <v>66</v>
      </c>
      <c r="E362">
        <v>4</v>
      </c>
      <c r="F362">
        <v>226.45</v>
      </c>
      <c r="G362" t="s">
        <v>11</v>
      </c>
      <c r="H362" t="s">
        <v>67</v>
      </c>
      <c r="I362">
        <v>905.8</v>
      </c>
      <c r="J362">
        <f>Tabela1[[#This Row],[Valor Total]]/Tabela1[[#This Row],[Quantidade]]</f>
        <v>226.45</v>
      </c>
      <c r="K362" t="str">
        <f>TEXT(Tabela1[[#This Row],[Data]],"aaaa-mm")</f>
        <v>2024-01</v>
      </c>
    </row>
    <row r="363" spans="1:11">
      <c r="A363" s="1">
        <v>45323</v>
      </c>
      <c r="B363" t="s">
        <v>61</v>
      </c>
      <c r="C363" t="s">
        <v>6</v>
      </c>
      <c r="D363" t="s">
        <v>73</v>
      </c>
      <c r="E363">
        <v>2</v>
      </c>
      <c r="F363">
        <v>80.55</v>
      </c>
      <c r="G363" t="s">
        <v>13</v>
      </c>
      <c r="H363" t="s">
        <v>63</v>
      </c>
      <c r="I363">
        <v>161.1</v>
      </c>
      <c r="J363">
        <f>Tabela1[[#This Row],[Valor Total]]/Tabela1[[#This Row],[Quantidade]]</f>
        <v>80.55</v>
      </c>
      <c r="K363" t="str">
        <f>TEXT(Tabela1[[#This Row],[Data]],"aaaa-mm")</f>
        <v>2024-02</v>
      </c>
    </row>
    <row r="364" spans="1:11">
      <c r="A364" s="1">
        <v>45324</v>
      </c>
      <c r="B364" t="s">
        <v>68</v>
      </c>
      <c r="C364" t="s">
        <v>7</v>
      </c>
      <c r="D364" t="s">
        <v>70</v>
      </c>
      <c r="E364">
        <v>6</v>
      </c>
      <c r="F364">
        <v>436.86</v>
      </c>
      <c r="G364" t="s">
        <v>14</v>
      </c>
      <c r="H364" t="s">
        <v>71</v>
      </c>
      <c r="I364">
        <v>2621.16</v>
      </c>
      <c r="J364">
        <f>Tabela1[[#This Row],[Valor Total]]/Tabela1[[#This Row],[Quantidade]]</f>
        <v>436.85999999999996</v>
      </c>
      <c r="K364" t="str">
        <f>TEXT(Tabela1[[#This Row],[Data]],"aaaa-mm")</f>
        <v>2024-02</v>
      </c>
    </row>
    <row r="365" spans="1:11">
      <c r="A365" s="1">
        <v>45325</v>
      </c>
      <c r="B365" t="s">
        <v>69</v>
      </c>
      <c r="C365" t="s">
        <v>5</v>
      </c>
      <c r="D365" t="s">
        <v>65</v>
      </c>
      <c r="E365">
        <v>7</v>
      </c>
      <c r="F365">
        <v>244.88</v>
      </c>
      <c r="G365" t="s">
        <v>13</v>
      </c>
      <c r="H365" t="s">
        <v>71</v>
      </c>
      <c r="I365">
        <v>1714.16</v>
      </c>
      <c r="J365">
        <f>Tabela1[[#This Row],[Valor Total]]/Tabela1[[#This Row],[Quantidade]]</f>
        <v>244.88000000000002</v>
      </c>
      <c r="K365" t="str">
        <f>TEXT(Tabela1[[#This Row],[Data]],"aaaa-mm")</f>
        <v>2024-02</v>
      </c>
    </row>
    <row r="366" spans="1:11">
      <c r="A366" s="1">
        <v>45327</v>
      </c>
      <c r="B366" t="s">
        <v>69</v>
      </c>
      <c r="C366" t="s">
        <v>6</v>
      </c>
      <c r="D366" t="s">
        <v>73</v>
      </c>
      <c r="E366">
        <v>5</v>
      </c>
      <c r="F366">
        <v>169.92</v>
      </c>
      <c r="G366" t="s">
        <v>15</v>
      </c>
      <c r="H366" t="s">
        <v>67</v>
      </c>
      <c r="I366">
        <v>849.59999999999991</v>
      </c>
      <c r="J366">
        <f>Tabela1[[#This Row],[Valor Total]]/Tabela1[[#This Row],[Quantidade]]</f>
        <v>169.92</v>
      </c>
      <c r="K366" t="str">
        <f>TEXT(Tabela1[[#This Row],[Data]],"aaaa-mm")</f>
        <v>2024-02</v>
      </c>
    </row>
    <row r="367" spans="1:11">
      <c r="A367" s="1">
        <v>45328</v>
      </c>
      <c r="B367" t="s">
        <v>68</v>
      </c>
      <c r="C367" t="s">
        <v>8</v>
      </c>
      <c r="D367" t="s">
        <v>73</v>
      </c>
      <c r="E367">
        <v>8</v>
      </c>
      <c r="F367">
        <v>352.35</v>
      </c>
      <c r="G367" t="s">
        <v>12</v>
      </c>
      <c r="H367" t="s">
        <v>64</v>
      </c>
      <c r="I367">
        <v>2818.8</v>
      </c>
      <c r="J367">
        <f>Tabela1[[#This Row],[Valor Total]]/Tabela1[[#This Row],[Quantidade]]</f>
        <v>352.35</v>
      </c>
      <c r="K367" t="str">
        <f>TEXT(Tabela1[[#This Row],[Data]],"aaaa-mm")</f>
        <v>2024-02</v>
      </c>
    </row>
    <row r="368" spans="1:11">
      <c r="A368" s="1">
        <v>45329</v>
      </c>
      <c r="B368" t="s">
        <v>74</v>
      </c>
      <c r="C368" t="s">
        <v>5</v>
      </c>
      <c r="D368" t="s">
        <v>66</v>
      </c>
      <c r="E368">
        <v>6</v>
      </c>
      <c r="F368">
        <v>488.82</v>
      </c>
      <c r="G368" t="s">
        <v>15</v>
      </c>
      <c r="H368" t="s">
        <v>64</v>
      </c>
      <c r="I368">
        <v>2932.92</v>
      </c>
      <c r="J368">
        <f>Tabela1[[#This Row],[Valor Total]]/Tabela1[[#This Row],[Quantidade]]</f>
        <v>488.82</v>
      </c>
      <c r="K368" t="str">
        <f>TEXT(Tabela1[[#This Row],[Data]],"aaaa-mm")</f>
        <v>2024-02</v>
      </c>
    </row>
    <row r="369" spans="1:11">
      <c r="A369" s="1">
        <v>45330</v>
      </c>
      <c r="B369" t="s">
        <v>61</v>
      </c>
      <c r="C369" t="s">
        <v>6</v>
      </c>
      <c r="D369" t="s">
        <v>66</v>
      </c>
      <c r="E369">
        <v>8</v>
      </c>
      <c r="F369">
        <v>497.47</v>
      </c>
      <c r="G369" t="s">
        <v>14</v>
      </c>
      <c r="H369" t="s">
        <v>64</v>
      </c>
      <c r="I369">
        <v>3979.76</v>
      </c>
      <c r="J369">
        <f>Tabela1[[#This Row],[Valor Total]]/Tabela1[[#This Row],[Quantidade]]</f>
        <v>497.47</v>
      </c>
      <c r="K369" t="str">
        <f>TEXT(Tabela1[[#This Row],[Data]],"aaaa-mm")</f>
        <v>2024-02</v>
      </c>
    </row>
    <row r="370" spans="1:11">
      <c r="A370" s="1">
        <v>45331</v>
      </c>
      <c r="B370" t="s">
        <v>74</v>
      </c>
      <c r="C370" t="s">
        <v>7</v>
      </c>
      <c r="D370" t="s">
        <v>66</v>
      </c>
      <c r="E370">
        <v>5</v>
      </c>
      <c r="F370">
        <v>26.33</v>
      </c>
      <c r="G370" t="s">
        <v>15</v>
      </c>
      <c r="H370" t="s">
        <v>64</v>
      </c>
      <c r="I370">
        <v>131.65</v>
      </c>
      <c r="J370">
        <f>Tabela1[[#This Row],[Valor Total]]/Tabela1[[#This Row],[Quantidade]]</f>
        <v>26.330000000000002</v>
      </c>
      <c r="K370" t="str">
        <f>TEXT(Tabela1[[#This Row],[Data]],"aaaa-mm")</f>
        <v>2024-02</v>
      </c>
    </row>
    <row r="371" spans="1:11">
      <c r="A371" s="1">
        <v>45332</v>
      </c>
      <c r="B371" t="s">
        <v>72</v>
      </c>
      <c r="C371" t="s">
        <v>5</v>
      </c>
      <c r="D371" t="s">
        <v>73</v>
      </c>
      <c r="E371">
        <v>5</v>
      </c>
      <c r="F371">
        <v>48.38</v>
      </c>
      <c r="G371" t="s">
        <v>13</v>
      </c>
      <c r="H371" t="s">
        <v>63</v>
      </c>
      <c r="I371">
        <v>241.9</v>
      </c>
      <c r="J371">
        <f>Tabela1[[#This Row],[Valor Total]]/Tabela1[[#This Row],[Quantidade]]</f>
        <v>48.38</v>
      </c>
      <c r="K371" t="str">
        <f>TEXT(Tabela1[[#This Row],[Data]],"aaaa-mm")</f>
        <v>2024-02</v>
      </c>
    </row>
    <row r="372" spans="1:11">
      <c r="A372" s="1">
        <v>45333</v>
      </c>
      <c r="B372" t="s">
        <v>61</v>
      </c>
      <c r="C372" t="s">
        <v>5</v>
      </c>
      <c r="D372" t="s">
        <v>65</v>
      </c>
      <c r="E372">
        <v>1</v>
      </c>
      <c r="F372">
        <v>423.28</v>
      </c>
      <c r="G372" t="s">
        <v>12</v>
      </c>
      <c r="H372" t="s">
        <v>63</v>
      </c>
      <c r="I372">
        <v>423.28</v>
      </c>
      <c r="J372">
        <f>Tabela1[[#This Row],[Valor Total]]/Tabela1[[#This Row],[Quantidade]]</f>
        <v>423.28</v>
      </c>
      <c r="K372" t="str">
        <f>TEXT(Tabela1[[#This Row],[Data]],"aaaa-mm")</f>
        <v>2024-02</v>
      </c>
    </row>
    <row r="373" spans="1:11">
      <c r="A373" s="1">
        <v>45334</v>
      </c>
      <c r="B373" t="s">
        <v>69</v>
      </c>
      <c r="C373" t="s">
        <v>5</v>
      </c>
      <c r="D373" t="s">
        <v>62</v>
      </c>
      <c r="E373">
        <v>1</v>
      </c>
      <c r="F373">
        <v>287.88</v>
      </c>
      <c r="G373" t="s">
        <v>12</v>
      </c>
      <c r="H373" t="s">
        <v>64</v>
      </c>
      <c r="I373">
        <v>287.88</v>
      </c>
      <c r="J373">
        <f>Tabela1[[#This Row],[Valor Total]]/Tabela1[[#This Row],[Quantidade]]</f>
        <v>287.88</v>
      </c>
      <c r="K373" t="str">
        <f>TEXT(Tabela1[[#This Row],[Data]],"aaaa-mm")</f>
        <v>2024-02</v>
      </c>
    </row>
    <row r="374" spans="1:11">
      <c r="A374" s="1">
        <v>45335</v>
      </c>
      <c r="B374" t="s">
        <v>74</v>
      </c>
      <c r="C374" t="s">
        <v>4</v>
      </c>
      <c r="D374" t="s">
        <v>66</v>
      </c>
      <c r="E374">
        <v>7</v>
      </c>
      <c r="F374">
        <v>49.32</v>
      </c>
      <c r="G374" t="s">
        <v>11</v>
      </c>
      <c r="H374" t="s">
        <v>67</v>
      </c>
      <c r="I374">
        <v>345.24</v>
      </c>
      <c r="J374">
        <f>Tabela1[[#This Row],[Valor Total]]/Tabela1[[#This Row],[Quantidade]]</f>
        <v>49.32</v>
      </c>
      <c r="K374" t="str">
        <f>TEXT(Tabela1[[#This Row],[Data]],"aaaa-mm")</f>
        <v>2024-02</v>
      </c>
    </row>
    <row r="375" spans="1:11">
      <c r="A375" s="1">
        <v>45336</v>
      </c>
      <c r="B375" t="s">
        <v>74</v>
      </c>
      <c r="C375" t="s">
        <v>6</v>
      </c>
      <c r="D375" t="s">
        <v>65</v>
      </c>
      <c r="E375">
        <v>3</v>
      </c>
      <c r="F375">
        <v>239.02</v>
      </c>
      <c r="G375" t="s">
        <v>14</v>
      </c>
      <c r="H375" t="s">
        <v>64</v>
      </c>
      <c r="I375">
        <v>717.06000000000006</v>
      </c>
      <c r="J375">
        <f>Tabela1[[#This Row],[Valor Total]]/Tabela1[[#This Row],[Quantidade]]</f>
        <v>239.02</v>
      </c>
      <c r="K375" t="str">
        <f>TEXT(Tabela1[[#This Row],[Data]],"aaaa-mm")</f>
        <v>2024-02</v>
      </c>
    </row>
    <row r="376" spans="1:11">
      <c r="A376" s="1">
        <v>45338</v>
      </c>
      <c r="B376" t="s">
        <v>74</v>
      </c>
      <c r="C376" t="s">
        <v>4</v>
      </c>
      <c r="D376" t="s">
        <v>66</v>
      </c>
      <c r="E376">
        <v>5</v>
      </c>
      <c r="F376">
        <v>306.62</v>
      </c>
      <c r="G376" t="s">
        <v>14</v>
      </c>
      <c r="H376" t="s">
        <v>67</v>
      </c>
      <c r="I376">
        <v>1533.1</v>
      </c>
      <c r="J376">
        <f>Tabela1[[#This Row],[Valor Total]]/Tabela1[[#This Row],[Quantidade]]</f>
        <v>306.62</v>
      </c>
      <c r="K376" t="str">
        <f>TEXT(Tabela1[[#This Row],[Data]],"aaaa-mm")</f>
        <v>2024-02</v>
      </c>
    </row>
    <row r="377" spans="1:11">
      <c r="A377" s="1">
        <v>45339</v>
      </c>
      <c r="B377" t="s">
        <v>72</v>
      </c>
      <c r="C377" t="s">
        <v>5</v>
      </c>
      <c r="D377" t="s">
        <v>70</v>
      </c>
      <c r="E377">
        <v>1</v>
      </c>
      <c r="F377">
        <v>32.869999999999997</v>
      </c>
      <c r="G377" t="s">
        <v>13</v>
      </c>
      <c r="H377" t="s">
        <v>71</v>
      </c>
      <c r="I377">
        <v>32.869999999999997</v>
      </c>
      <c r="J377">
        <f>Tabela1[[#This Row],[Valor Total]]/Tabela1[[#This Row],[Quantidade]]</f>
        <v>32.869999999999997</v>
      </c>
      <c r="K377" t="str">
        <f>TEXT(Tabela1[[#This Row],[Data]],"aaaa-mm")</f>
        <v>2024-02</v>
      </c>
    </row>
    <row r="378" spans="1:11">
      <c r="A378" s="1">
        <v>45340</v>
      </c>
      <c r="B378" t="s">
        <v>72</v>
      </c>
      <c r="C378" t="s">
        <v>6</v>
      </c>
      <c r="D378" t="s">
        <v>73</v>
      </c>
      <c r="E378">
        <v>9</v>
      </c>
      <c r="F378">
        <v>193.99</v>
      </c>
      <c r="G378" t="s">
        <v>12</v>
      </c>
      <c r="H378" t="s">
        <v>71</v>
      </c>
      <c r="I378">
        <v>1745.91</v>
      </c>
      <c r="J378">
        <f>Tabela1[[#This Row],[Valor Total]]/Tabela1[[#This Row],[Quantidade]]</f>
        <v>193.99</v>
      </c>
      <c r="K378" t="str">
        <f>TEXT(Tabela1[[#This Row],[Data]],"aaaa-mm")</f>
        <v>2024-02</v>
      </c>
    </row>
    <row r="379" spans="1:11">
      <c r="A379" s="1">
        <v>45341</v>
      </c>
      <c r="B379" t="s">
        <v>74</v>
      </c>
      <c r="C379" t="s">
        <v>6</v>
      </c>
      <c r="D379" t="s">
        <v>65</v>
      </c>
      <c r="E379">
        <v>5</v>
      </c>
      <c r="F379">
        <v>342.81</v>
      </c>
      <c r="G379" t="s">
        <v>14</v>
      </c>
      <c r="H379" t="s">
        <v>64</v>
      </c>
      <c r="I379">
        <v>1714.05</v>
      </c>
      <c r="J379">
        <f>Tabela1[[#This Row],[Valor Total]]/Tabela1[[#This Row],[Quantidade]]</f>
        <v>342.81</v>
      </c>
      <c r="K379" t="str">
        <f>TEXT(Tabela1[[#This Row],[Data]],"aaaa-mm")</f>
        <v>2024-02</v>
      </c>
    </row>
    <row r="380" spans="1:11">
      <c r="A380" s="1">
        <v>45342</v>
      </c>
      <c r="B380" t="s">
        <v>68</v>
      </c>
      <c r="C380" t="s">
        <v>6</v>
      </c>
      <c r="D380" t="s">
        <v>66</v>
      </c>
      <c r="E380">
        <v>6</v>
      </c>
      <c r="F380">
        <v>345.75</v>
      </c>
      <c r="G380" t="s">
        <v>12</v>
      </c>
      <c r="H380" t="s">
        <v>64</v>
      </c>
      <c r="I380">
        <v>2074.5</v>
      </c>
      <c r="J380">
        <f>Tabela1[[#This Row],[Valor Total]]/Tabela1[[#This Row],[Quantidade]]</f>
        <v>345.75</v>
      </c>
      <c r="K380" t="str">
        <f>TEXT(Tabela1[[#This Row],[Data]],"aaaa-mm")</f>
        <v>2024-02</v>
      </c>
    </row>
    <row r="381" spans="1:11">
      <c r="A381" s="1">
        <v>45343</v>
      </c>
      <c r="B381" t="s">
        <v>61</v>
      </c>
      <c r="C381" t="s">
        <v>6</v>
      </c>
      <c r="D381" t="s">
        <v>62</v>
      </c>
      <c r="E381">
        <v>5</v>
      </c>
      <c r="F381">
        <v>413.93</v>
      </c>
      <c r="G381" t="s">
        <v>15</v>
      </c>
      <c r="H381" t="s">
        <v>71</v>
      </c>
      <c r="I381">
        <v>2069.65</v>
      </c>
      <c r="J381">
        <f>Tabela1[[#This Row],[Valor Total]]/Tabela1[[#This Row],[Quantidade]]</f>
        <v>413.93</v>
      </c>
      <c r="K381" t="str">
        <f>TEXT(Tabela1[[#This Row],[Data]],"aaaa-mm")</f>
        <v>2024-02</v>
      </c>
    </row>
    <row r="382" spans="1:11">
      <c r="A382" s="1">
        <v>45344</v>
      </c>
      <c r="B382" t="s">
        <v>69</v>
      </c>
      <c r="C382" t="s">
        <v>7</v>
      </c>
      <c r="D382" t="s">
        <v>65</v>
      </c>
      <c r="E382">
        <v>3</v>
      </c>
      <c r="F382">
        <v>261.52999999999997</v>
      </c>
      <c r="G382" t="s">
        <v>12</v>
      </c>
      <c r="H382" t="s">
        <v>71</v>
      </c>
      <c r="I382">
        <v>784.58999999999992</v>
      </c>
      <c r="J382">
        <f>Tabela1[[#This Row],[Valor Total]]/Tabela1[[#This Row],[Quantidade]]</f>
        <v>261.52999999999997</v>
      </c>
      <c r="K382" t="str">
        <f>TEXT(Tabela1[[#This Row],[Data]],"aaaa-mm")</f>
        <v>2024-02</v>
      </c>
    </row>
    <row r="383" spans="1:11">
      <c r="A383" s="1">
        <v>45345</v>
      </c>
      <c r="B383" t="s">
        <v>72</v>
      </c>
      <c r="C383" t="s">
        <v>6</v>
      </c>
      <c r="D383" t="s">
        <v>73</v>
      </c>
      <c r="E383">
        <v>2</v>
      </c>
      <c r="F383">
        <v>148.91999999999999</v>
      </c>
      <c r="G383" t="s">
        <v>14</v>
      </c>
      <c r="H383" t="s">
        <v>64</v>
      </c>
      <c r="I383">
        <v>297.83999999999997</v>
      </c>
      <c r="J383">
        <f>Tabela1[[#This Row],[Valor Total]]/Tabela1[[#This Row],[Quantidade]]</f>
        <v>148.91999999999999</v>
      </c>
      <c r="K383" t="str">
        <f>TEXT(Tabela1[[#This Row],[Data]],"aaaa-mm")</f>
        <v>2024-02</v>
      </c>
    </row>
    <row r="384" spans="1:11">
      <c r="A384" s="1">
        <v>45346</v>
      </c>
      <c r="B384" t="s">
        <v>72</v>
      </c>
      <c r="C384" t="s">
        <v>7</v>
      </c>
      <c r="D384" t="s">
        <v>65</v>
      </c>
      <c r="E384">
        <v>1</v>
      </c>
      <c r="F384">
        <v>270.14</v>
      </c>
      <c r="G384" t="s">
        <v>14</v>
      </c>
      <c r="H384" t="s">
        <v>71</v>
      </c>
      <c r="I384">
        <v>270.14</v>
      </c>
      <c r="J384">
        <f>Tabela1[[#This Row],[Valor Total]]/Tabela1[[#This Row],[Quantidade]]</f>
        <v>270.14</v>
      </c>
      <c r="K384" t="str">
        <f>TEXT(Tabela1[[#This Row],[Data]],"aaaa-mm")</f>
        <v>2024-02</v>
      </c>
    </row>
    <row r="385" spans="1:11">
      <c r="A385" s="1">
        <v>45347</v>
      </c>
      <c r="B385" t="s">
        <v>69</v>
      </c>
      <c r="C385" t="s">
        <v>5</v>
      </c>
      <c r="D385" t="s">
        <v>70</v>
      </c>
      <c r="E385">
        <v>9</v>
      </c>
      <c r="F385">
        <v>298.62</v>
      </c>
      <c r="G385" t="s">
        <v>13</v>
      </c>
      <c r="H385" t="s">
        <v>64</v>
      </c>
      <c r="I385">
        <v>2687.58</v>
      </c>
      <c r="J385">
        <f>Tabela1[[#This Row],[Valor Total]]/Tabela1[[#This Row],[Quantidade]]</f>
        <v>298.62</v>
      </c>
      <c r="K385" t="str">
        <f>TEXT(Tabela1[[#This Row],[Data]],"aaaa-mm")</f>
        <v>2024-02</v>
      </c>
    </row>
    <row r="386" spans="1:11">
      <c r="A386" s="1">
        <v>45348</v>
      </c>
      <c r="B386" t="s">
        <v>72</v>
      </c>
      <c r="C386" t="s">
        <v>5</v>
      </c>
      <c r="D386" t="s">
        <v>70</v>
      </c>
      <c r="E386">
        <v>4</v>
      </c>
      <c r="F386">
        <v>132.51</v>
      </c>
      <c r="G386" t="s">
        <v>15</v>
      </c>
      <c r="H386" t="s">
        <v>64</v>
      </c>
      <c r="I386">
        <v>530.04</v>
      </c>
      <c r="J386">
        <f>Tabela1[[#This Row],[Valor Total]]/Tabela1[[#This Row],[Quantidade]]</f>
        <v>132.51</v>
      </c>
      <c r="K386" t="str">
        <f>TEXT(Tabela1[[#This Row],[Data]],"aaaa-mm")</f>
        <v>2024-02</v>
      </c>
    </row>
    <row r="387" spans="1:11">
      <c r="A387" s="1">
        <v>45350</v>
      </c>
      <c r="B387" t="s">
        <v>68</v>
      </c>
      <c r="C387" t="s">
        <v>8</v>
      </c>
      <c r="D387" t="s">
        <v>65</v>
      </c>
      <c r="E387">
        <v>1</v>
      </c>
      <c r="F387">
        <v>313.99</v>
      </c>
      <c r="G387" t="s">
        <v>14</v>
      </c>
      <c r="H387" t="s">
        <v>71</v>
      </c>
      <c r="I387">
        <v>313.99</v>
      </c>
      <c r="J387">
        <f>Tabela1[[#This Row],[Valor Total]]/Tabela1[[#This Row],[Quantidade]]</f>
        <v>313.99</v>
      </c>
      <c r="K387" t="str">
        <f>TEXT(Tabela1[[#This Row],[Data]],"aaaa-mm")</f>
        <v>2024-02</v>
      </c>
    </row>
    <row r="388" spans="1:11">
      <c r="A388" s="1">
        <v>45351</v>
      </c>
      <c r="B388" t="s">
        <v>74</v>
      </c>
      <c r="C388" t="s">
        <v>6</v>
      </c>
      <c r="D388" t="s">
        <v>70</v>
      </c>
      <c r="E388">
        <v>8</v>
      </c>
      <c r="F388">
        <v>196.31</v>
      </c>
      <c r="G388" t="s">
        <v>11</v>
      </c>
      <c r="H388" t="s">
        <v>67</v>
      </c>
      <c r="I388">
        <v>1570.48</v>
      </c>
      <c r="J388">
        <f>Tabela1[[#This Row],[Valor Total]]/Tabela1[[#This Row],[Quantidade]]</f>
        <v>196.31</v>
      </c>
      <c r="K388" t="str">
        <f>TEXT(Tabela1[[#This Row],[Data]],"aaaa-mm")</f>
        <v>2024-02</v>
      </c>
    </row>
    <row r="389" spans="1:11">
      <c r="A389" s="1">
        <v>45352</v>
      </c>
      <c r="B389" t="s">
        <v>72</v>
      </c>
      <c r="C389" t="s">
        <v>5</v>
      </c>
      <c r="D389" t="s">
        <v>73</v>
      </c>
      <c r="E389">
        <v>6</v>
      </c>
      <c r="F389">
        <v>429.62</v>
      </c>
      <c r="G389" t="s">
        <v>12</v>
      </c>
      <c r="H389" t="s">
        <v>67</v>
      </c>
      <c r="I389">
        <v>2577.7199999999998</v>
      </c>
      <c r="J389">
        <f>Tabela1[[#This Row],[Valor Total]]/Tabela1[[#This Row],[Quantidade]]</f>
        <v>429.61999999999995</v>
      </c>
      <c r="K389" t="str">
        <f>TEXT(Tabela1[[#This Row],[Data]],"aaaa-mm")</f>
        <v>2024-03</v>
      </c>
    </row>
    <row r="390" spans="1:11">
      <c r="A390" s="1">
        <v>45353</v>
      </c>
      <c r="B390" t="s">
        <v>61</v>
      </c>
      <c r="C390" t="s">
        <v>5</v>
      </c>
      <c r="D390" t="s">
        <v>70</v>
      </c>
      <c r="E390">
        <v>8</v>
      </c>
      <c r="F390">
        <v>249.43</v>
      </c>
      <c r="G390" t="s">
        <v>14</v>
      </c>
      <c r="H390" t="s">
        <v>64</v>
      </c>
      <c r="I390">
        <v>1995.44</v>
      </c>
      <c r="J390">
        <f>Tabela1[[#This Row],[Valor Total]]/Tabela1[[#This Row],[Quantidade]]</f>
        <v>249.43</v>
      </c>
      <c r="K390" t="str">
        <f>TEXT(Tabela1[[#This Row],[Data]],"aaaa-mm")</f>
        <v>2024-03</v>
      </c>
    </row>
    <row r="391" spans="1:11">
      <c r="A391" s="1">
        <v>45354</v>
      </c>
      <c r="B391" t="s">
        <v>72</v>
      </c>
      <c r="C391" t="s">
        <v>8</v>
      </c>
      <c r="D391" t="s">
        <v>66</v>
      </c>
      <c r="E391">
        <v>4</v>
      </c>
      <c r="F391">
        <v>84.73</v>
      </c>
      <c r="G391" t="s">
        <v>11</v>
      </c>
      <c r="H391" t="s">
        <v>71</v>
      </c>
      <c r="I391">
        <v>338.92</v>
      </c>
      <c r="J391">
        <f>Tabela1[[#This Row],[Valor Total]]/Tabela1[[#This Row],[Quantidade]]</f>
        <v>84.73</v>
      </c>
      <c r="K391" t="str">
        <f>TEXT(Tabela1[[#This Row],[Data]],"aaaa-mm")</f>
        <v>2024-03</v>
      </c>
    </row>
    <row r="392" spans="1:11">
      <c r="A392" s="1">
        <v>45355</v>
      </c>
      <c r="B392" t="s">
        <v>61</v>
      </c>
      <c r="C392" t="s">
        <v>4</v>
      </c>
      <c r="D392" t="s">
        <v>73</v>
      </c>
      <c r="E392">
        <v>2</v>
      </c>
      <c r="F392">
        <v>159.85</v>
      </c>
      <c r="G392" t="s">
        <v>11</v>
      </c>
      <c r="H392" t="s">
        <v>64</v>
      </c>
      <c r="I392">
        <v>319.7</v>
      </c>
      <c r="J392">
        <f>Tabela1[[#This Row],[Valor Total]]/Tabela1[[#This Row],[Quantidade]]</f>
        <v>159.85</v>
      </c>
      <c r="K392" t="str">
        <f>TEXT(Tabela1[[#This Row],[Data]],"aaaa-mm")</f>
        <v>2024-03</v>
      </c>
    </row>
    <row r="393" spans="1:11">
      <c r="A393" s="1">
        <v>45356</v>
      </c>
      <c r="B393" t="s">
        <v>72</v>
      </c>
      <c r="C393" t="s">
        <v>4</v>
      </c>
      <c r="D393" t="s">
        <v>66</v>
      </c>
      <c r="E393">
        <v>9</v>
      </c>
      <c r="F393">
        <v>186.38</v>
      </c>
      <c r="G393" t="s">
        <v>12</v>
      </c>
      <c r="H393" t="s">
        <v>63</v>
      </c>
      <c r="I393">
        <v>1677.42</v>
      </c>
      <c r="J393">
        <f>Tabela1[[#This Row],[Valor Total]]/Tabela1[[#This Row],[Quantidade]]</f>
        <v>186.38</v>
      </c>
      <c r="K393" t="str">
        <f>TEXT(Tabela1[[#This Row],[Data]],"aaaa-mm")</f>
        <v>2024-03</v>
      </c>
    </row>
    <row r="394" spans="1:11">
      <c r="A394" s="1">
        <v>45357</v>
      </c>
      <c r="B394" t="s">
        <v>74</v>
      </c>
      <c r="C394" t="s">
        <v>5</v>
      </c>
      <c r="D394" t="s">
        <v>70</v>
      </c>
      <c r="E394">
        <v>9</v>
      </c>
      <c r="F394">
        <v>483.55</v>
      </c>
      <c r="G394" t="s">
        <v>12</v>
      </c>
      <c r="H394" t="s">
        <v>71</v>
      </c>
      <c r="I394">
        <v>4351.95</v>
      </c>
      <c r="J394">
        <f>Tabela1[[#This Row],[Valor Total]]/Tabela1[[#This Row],[Quantidade]]</f>
        <v>483.54999999999995</v>
      </c>
      <c r="K394" t="str">
        <f>TEXT(Tabela1[[#This Row],[Data]],"aaaa-mm")</f>
        <v>2024-03</v>
      </c>
    </row>
    <row r="395" spans="1:11">
      <c r="A395" s="1">
        <v>45358</v>
      </c>
      <c r="B395" t="s">
        <v>69</v>
      </c>
      <c r="C395" t="s">
        <v>8</v>
      </c>
      <c r="D395" t="s">
        <v>73</v>
      </c>
      <c r="E395">
        <v>4</v>
      </c>
      <c r="F395">
        <v>335.51</v>
      </c>
      <c r="G395" t="s">
        <v>14</v>
      </c>
      <c r="H395" t="s">
        <v>71</v>
      </c>
      <c r="I395">
        <v>1342.04</v>
      </c>
      <c r="J395">
        <f>Tabela1[[#This Row],[Valor Total]]/Tabela1[[#This Row],[Quantidade]]</f>
        <v>335.51</v>
      </c>
      <c r="K395" t="str">
        <f>TEXT(Tabela1[[#This Row],[Data]],"aaaa-mm")</f>
        <v>2024-03</v>
      </c>
    </row>
    <row r="396" spans="1:11">
      <c r="A396" s="1">
        <v>45359</v>
      </c>
      <c r="B396" t="s">
        <v>72</v>
      </c>
      <c r="C396" t="s">
        <v>5</v>
      </c>
      <c r="D396" t="s">
        <v>70</v>
      </c>
      <c r="E396">
        <v>1</v>
      </c>
      <c r="F396">
        <v>192.6</v>
      </c>
      <c r="G396" t="s">
        <v>13</v>
      </c>
      <c r="H396" t="s">
        <v>67</v>
      </c>
      <c r="I396">
        <v>192.6</v>
      </c>
      <c r="J396">
        <f>Tabela1[[#This Row],[Valor Total]]/Tabela1[[#This Row],[Quantidade]]</f>
        <v>192.6</v>
      </c>
      <c r="K396" t="str">
        <f>TEXT(Tabela1[[#This Row],[Data]],"aaaa-mm")</f>
        <v>2024-03</v>
      </c>
    </row>
    <row r="397" spans="1:11">
      <c r="A397" s="1">
        <v>45361</v>
      </c>
      <c r="B397" t="s">
        <v>74</v>
      </c>
      <c r="C397" t="s">
        <v>4</v>
      </c>
      <c r="D397" t="s">
        <v>62</v>
      </c>
      <c r="E397">
        <v>9</v>
      </c>
      <c r="F397">
        <v>478.2</v>
      </c>
      <c r="G397" t="s">
        <v>15</v>
      </c>
      <c r="H397" t="s">
        <v>63</v>
      </c>
      <c r="I397">
        <v>4303.8</v>
      </c>
      <c r="J397">
        <f>Tabela1[[#This Row],[Valor Total]]/Tabela1[[#This Row],[Quantidade]]</f>
        <v>478.20000000000005</v>
      </c>
      <c r="K397" t="str">
        <f>TEXT(Tabela1[[#This Row],[Data]],"aaaa-mm")</f>
        <v>2024-03</v>
      </c>
    </row>
    <row r="398" spans="1:11">
      <c r="A398" s="1">
        <v>45362</v>
      </c>
      <c r="B398" t="s">
        <v>68</v>
      </c>
      <c r="C398" t="s">
        <v>5</v>
      </c>
      <c r="D398" t="s">
        <v>70</v>
      </c>
      <c r="E398">
        <v>6</v>
      </c>
      <c r="F398">
        <v>219.06</v>
      </c>
      <c r="G398" t="s">
        <v>11</v>
      </c>
      <c r="H398" t="s">
        <v>71</v>
      </c>
      <c r="I398">
        <v>1314.36</v>
      </c>
      <c r="J398">
        <f>Tabela1[[#This Row],[Valor Total]]/Tabela1[[#This Row],[Quantidade]]</f>
        <v>219.05999999999997</v>
      </c>
      <c r="K398" t="str">
        <f>TEXT(Tabela1[[#This Row],[Data]],"aaaa-mm")</f>
        <v>2024-03</v>
      </c>
    </row>
    <row r="399" spans="1:11">
      <c r="A399" s="1">
        <v>45363</v>
      </c>
      <c r="B399" t="s">
        <v>74</v>
      </c>
      <c r="C399" t="s">
        <v>7</v>
      </c>
      <c r="D399" t="s">
        <v>62</v>
      </c>
      <c r="E399">
        <v>2</v>
      </c>
      <c r="F399">
        <v>399.15</v>
      </c>
      <c r="G399" t="s">
        <v>15</v>
      </c>
      <c r="H399" t="s">
        <v>71</v>
      </c>
      <c r="I399">
        <v>798.3</v>
      </c>
      <c r="J399">
        <f>Tabela1[[#This Row],[Valor Total]]/Tabela1[[#This Row],[Quantidade]]</f>
        <v>399.15</v>
      </c>
      <c r="K399" t="str">
        <f>TEXT(Tabela1[[#This Row],[Data]],"aaaa-mm")</f>
        <v>2024-03</v>
      </c>
    </row>
    <row r="400" spans="1:11">
      <c r="A400" s="1">
        <v>45364</v>
      </c>
      <c r="B400" t="s">
        <v>74</v>
      </c>
      <c r="C400" t="s">
        <v>4</v>
      </c>
      <c r="D400" t="s">
        <v>73</v>
      </c>
      <c r="E400">
        <v>9</v>
      </c>
      <c r="F400">
        <v>428.03</v>
      </c>
      <c r="G400" t="s">
        <v>14</v>
      </c>
      <c r="H400" t="s">
        <v>63</v>
      </c>
      <c r="I400">
        <v>3852.27</v>
      </c>
      <c r="J400">
        <f>Tabela1[[#This Row],[Valor Total]]/Tabela1[[#This Row],[Quantidade]]</f>
        <v>428.03</v>
      </c>
      <c r="K400" t="str">
        <f>TEXT(Tabela1[[#This Row],[Data]],"aaaa-mm")</f>
        <v>2024-03</v>
      </c>
    </row>
    <row r="401" spans="1:11">
      <c r="A401" s="1">
        <v>45365</v>
      </c>
      <c r="B401" t="s">
        <v>72</v>
      </c>
      <c r="C401" t="s">
        <v>6</v>
      </c>
      <c r="D401" t="s">
        <v>73</v>
      </c>
      <c r="E401">
        <v>3</v>
      </c>
      <c r="F401">
        <v>481.97</v>
      </c>
      <c r="G401" t="s">
        <v>13</v>
      </c>
      <c r="H401" t="s">
        <v>67</v>
      </c>
      <c r="I401">
        <v>1445.91</v>
      </c>
      <c r="J401">
        <f>Tabela1[[#This Row],[Valor Total]]/Tabela1[[#This Row],[Quantidade]]</f>
        <v>481.97</v>
      </c>
      <c r="K401" t="str">
        <f>TEXT(Tabela1[[#This Row],[Data]],"aaaa-mm")</f>
        <v>2024-03</v>
      </c>
    </row>
    <row r="402" spans="1:11">
      <c r="A402" s="1">
        <v>45366</v>
      </c>
      <c r="B402" t="s">
        <v>68</v>
      </c>
      <c r="C402" t="s">
        <v>6</v>
      </c>
      <c r="D402" t="s">
        <v>65</v>
      </c>
      <c r="E402">
        <v>9</v>
      </c>
      <c r="F402">
        <v>345</v>
      </c>
      <c r="G402" t="s">
        <v>14</v>
      </c>
      <c r="H402" t="s">
        <v>64</v>
      </c>
      <c r="I402">
        <v>3105</v>
      </c>
      <c r="J402">
        <f>Tabela1[[#This Row],[Valor Total]]/Tabela1[[#This Row],[Quantidade]]</f>
        <v>345</v>
      </c>
      <c r="K402" t="str">
        <f>TEXT(Tabela1[[#This Row],[Data]],"aaaa-mm")</f>
        <v>2024-03</v>
      </c>
    </row>
    <row r="403" spans="1:11">
      <c r="A403" s="1">
        <v>45367</v>
      </c>
      <c r="B403" t="s">
        <v>69</v>
      </c>
      <c r="C403" t="s">
        <v>7</v>
      </c>
      <c r="D403" t="s">
        <v>66</v>
      </c>
      <c r="E403">
        <v>5</v>
      </c>
      <c r="F403">
        <v>352.91</v>
      </c>
      <c r="G403" t="s">
        <v>13</v>
      </c>
      <c r="H403" t="s">
        <v>64</v>
      </c>
      <c r="I403">
        <v>1764.55</v>
      </c>
      <c r="J403">
        <f>Tabela1[[#This Row],[Valor Total]]/Tabela1[[#This Row],[Quantidade]]</f>
        <v>352.90999999999997</v>
      </c>
      <c r="K403" t="str">
        <f>TEXT(Tabela1[[#This Row],[Data]],"aaaa-mm")</f>
        <v>2024-03</v>
      </c>
    </row>
    <row r="404" spans="1:11">
      <c r="A404" s="1">
        <v>45368</v>
      </c>
      <c r="B404" t="s">
        <v>68</v>
      </c>
      <c r="C404" t="s">
        <v>6</v>
      </c>
      <c r="D404" t="s">
        <v>73</v>
      </c>
      <c r="E404">
        <v>8</v>
      </c>
      <c r="F404">
        <v>52.31</v>
      </c>
      <c r="G404" t="s">
        <v>15</v>
      </c>
      <c r="H404" t="s">
        <v>64</v>
      </c>
      <c r="I404">
        <v>418.48</v>
      </c>
      <c r="J404">
        <f>Tabela1[[#This Row],[Valor Total]]/Tabela1[[#This Row],[Quantidade]]</f>
        <v>52.31</v>
      </c>
      <c r="K404" t="str">
        <f>TEXT(Tabela1[[#This Row],[Data]],"aaaa-mm")</f>
        <v>2024-03</v>
      </c>
    </row>
    <row r="405" spans="1:11">
      <c r="A405" s="1">
        <v>45369</v>
      </c>
      <c r="B405" t="s">
        <v>72</v>
      </c>
      <c r="C405" t="s">
        <v>6</v>
      </c>
      <c r="D405" t="s">
        <v>66</v>
      </c>
      <c r="E405">
        <v>7</v>
      </c>
      <c r="F405">
        <v>264.31</v>
      </c>
      <c r="G405" t="s">
        <v>13</v>
      </c>
      <c r="H405" t="s">
        <v>71</v>
      </c>
      <c r="I405">
        <v>1850.17</v>
      </c>
      <c r="J405">
        <f>Tabela1[[#This Row],[Valor Total]]/Tabela1[[#This Row],[Quantidade]]</f>
        <v>264.31</v>
      </c>
      <c r="K405" t="str">
        <f>TEXT(Tabela1[[#This Row],[Data]],"aaaa-mm")</f>
        <v>2024-03</v>
      </c>
    </row>
    <row r="406" spans="1:11">
      <c r="A406" s="1">
        <v>45370</v>
      </c>
      <c r="B406" t="s">
        <v>61</v>
      </c>
      <c r="C406" t="s">
        <v>4</v>
      </c>
      <c r="D406" t="s">
        <v>66</v>
      </c>
      <c r="E406">
        <v>5</v>
      </c>
      <c r="F406">
        <v>40.57</v>
      </c>
      <c r="G406" t="s">
        <v>15</v>
      </c>
      <c r="H406" t="s">
        <v>67</v>
      </c>
      <c r="I406">
        <v>202.85</v>
      </c>
      <c r="J406">
        <f>Tabela1[[#This Row],[Valor Total]]/Tabela1[[#This Row],[Quantidade]]</f>
        <v>40.57</v>
      </c>
      <c r="K406" t="str">
        <f>TEXT(Tabela1[[#This Row],[Data]],"aaaa-mm")</f>
        <v>2024-03</v>
      </c>
    </row>
    <row r="407" spans="1:11">
      <c r="A407" s="1">
        <v>45372</v>
      </c>
      <c r="B407" t="s">
        <v>61</v>
      </c>
      <c r="C407" t="s">
        <v>4</v>
      </c>
      <c r="D407" t="s">
        <v>70</v>
      </c>
      <c r="E407">
        <v>8</v>
      </c>
      <c r="F407">
        <v>132.94</v>
      </c>
      <c r="G407" t="s">
        <v>15</v>
      </c>
      <c r="H407" t="s">
        <v>67</v>
      </c>
      <c r="I407">
        <v>1063.52</v>
      </c>
      <c r="J407">
        <f>Tabela1[[#This Row],[Valor Total]]/Tabela1[[#This Row],[Quantidade]]</f>
        <v>132.94</v>
      </c>
      <c r="K407" t="str">
        <f>TEXT(Tabela1[[#This Row],[Data]],"aaaa-mm")</f>
        <v>2024-03</v>
      </c>
    </row>
    <row r="408" spans="1:11">
      <c r="A408" s="1">
        <v>45373</v>
      </c>
      <c r="B408" t="s">
        <v>72</v>
      </c>
      <c r="C408" t="s">
        <v>4</v>
      </c>
      <c r="D408" t="s">
        <v>65</v>
      </c>
      <c r="E408">
        <v>6</v>
      </c>
      <c r="F408">
        <v>121.68</v>
      </c>
      <c r="G408" t="s">
        <v>15</v>
      </c>
      <c r="H408" t="s">
        <v>67</v>
      </c>
      <c r="I408">
        <v>730.08</v>
      </c>
      <c r="J408">
        <f>Tabela1[[#This Row],[Valor Total]]/Tabela1[[#This Row],[Quantidade]]</f>
        <v>121.68</v>
      </c>
      <c r="K408" t="str">
        <f>TEXT(Tabela1[[#This Row],[Data]],"aaaa-mm")</f>
        <v>2024-03</v>
      </c>
    </row>
    <row r="409" spans="1:11">
      <c r="A409" s="1">
        <v>45374</v>
      </c>
      <c r="B409" t="s">
        <v>74</v>
      </c>
      <c r="C409" t="s">
        <v>7</v>
      </c>
      <c r="D409" t="s">
        <v>70</v>
      </c>
      <c r="E409">
        <v>7</v>
      </c>
      <c r="F409">
        <v>332.59</v>
      </c>
      <c r="G409" t="s">
        <v>11</v>
      </c>
      <c r="H409" t="s">
        <v>71</v>
      </c>
      <c r="I409">
        <v>2328.13</v>
      </c>
      <c r="J409">
        <f>Tabela1[[#This Row],[Valor Total]]/Tabela1[[#This Row],[Quantidade]]</f>
        <v>332.59000000000003</v>
      </c>
      <c r="K409" t="str">
        <f>TEXT(Tabela1[[#This Row],[Data]],"aaaa-mm")</f>
        <v>2024-03</v>
      </c>
    </row>
    <row r="410" spans="1:11">
      <c r="A410" s="1">
        <v>45375</v>
      </c>
      <c r="B410" t="s">
        <v>74</v>
      </c>
      <c r="C410" t="s">
        <v>8</v>
      </c>
      <c r="D410" t="s">
        <v>62</v>
      </c>
      <c r="E410">
        <v>2</v>
      </c>
      <c r="F410">
        <v>246.64</v>
      </c>
      <c r="G410" t="s">
        <v>14</v>
      </c>
      <c r="H410" t="s">
        <v>67</v>
      </c>
      <c r="I410">
        <v>493.28</v>
      </c>
      <c r="J410">
        <f>Tabela1[[#This Row],[Valor Total]]/Tabela1[[#This Row],[Quantidade]]</f>
        <v>246.64</v>
      </c>
      <c r="K410" t="str">
        <f>TEXT(Tabela1[[#This Row],[Data]],"aaaa-mm")</f>
        <v>2024-03</v>
      </c>
    </row>
    <row r="411" spans="1:11">
      <c r="A411" s="1">
        <v>45376</v>
      </c>
      <c r="B411" t="s">
        <v>74</v>
      </c>
      <c r="C411" t="s">
        <v>4</v>
      </c>
      <c r="D411" t="s">
        <v>62</v>
      </c>
      <c r="E411">
        <v>1</v>
      </c>
      <c r="F411">
        <v>138.18</v>
      </c>
      <c r="G411" t="s">
        <v>15</v>
      </c>
      <c r="H411" t="s">
        <v>64</v>
      </c>
      <c r="I411">
        <v>138.18</v>
      </c>
      <c r="J411">
        <f>Tabela1[[#This Row],[Valor Total]]/Tabela1[[#This Row],[Quantidade]]</f>
        <v>138.18</v>
      </c>
      <c r="K411" t="str">
        <f>TEXT(Tabela1[[#This Row],[Data]],"aaaa-mm")</f>
        <v>2024-03</v>
      </c>
    </row>
    <row r="412" spans="1:11">
      <c r="A412" s="1">
        <v>45377</v>
      </c>
      <c r="B412" t="s">
        <v>61</v>
      </c>
      <c r="C412" t="s">
        <v>4</v>
      </c>
      <c r="D412" t="s">
        <v>65</v>
      </c>
      <c r="E412">
        <v>4</v>
      </c>
      <c r="F412">
        <v>273.49</v>
      </c>
      <c r="G412" t="s">
        <v>13</v>
      </c>
      <c r="H412" t="s">
        <v>64</v>
      </c>
      <c r="I412">
        <v>1093.96</v>
      </c>
      <c r="J412">
        <f>Tabela1[[#This Row],[Valor Total]]/Tabela1[[#This Row],[Quantidade]]</f>
        <v>273.49</v>
      </c>
      <c r="K412" t="str">
        <f>TEXT(Tabela1[[#This Row],[Data]],"aaaa-mm")</f>
        <v>2024-03</v>
      </c>
    </row>
    <row r="413" spans="1:11">
      <c r="A413" s="1">
        <v>45378</v>
      </c>
      <c r="B413" t="s">
        <v>69</v>
      </c>
      <c r="C413" t="s">
        <v>7</v>
      </c>
      <c r="D413" t="s">
        <v>73</v>
      </c>
      <c r="E413">
        <v>1</v>
      </c>
      <c r="F413">
        <v>333.65</v>
      </c>
      <c r="G413" t="s">
        <v>15</v>
      </c>
      <c r="H413" t="s">
        <v>63</v>
      </c>
      <c r="I413">
        <v>333.65</v>
      </c>
      <c r="J413">
        <f>Tabela1[[#This Row],[Valor Total]]/Tabela1[[#This Row],[Quantidade]]</f>
        <v>333.65</v>
      </c>
      <c r="K413" t="str">
        <f>TEXT(Tabela1[[#This Row],[Data]],"aaaa-mm")</f>
        <v>2024-03</v>
      </c>
    </row>
    <row r="414" spans="1:11">
      <c r="A414" s="1">
        <v>45379</v>
      </c>
      <c r="B414" t="s">
        <v>74</v>
      </c>
      <c r="C414" t="s">
        <v>6</v>
      </c>
      <c r="D414" t="s">
        <v>73</v>
      </c>
      <c r="E414">
        <v>7</v>
      </c>
      <c r="F414">
        <v>479.99</v>
      </c>
      <c r="G414" t="s">
        <v>12</v>
      </c>
      <c r="H414" t="s">
        <v>67</v>
      </c>
      <c r="I414">
        <v>3359.93</v>
      </c>
      <c r="J414">
        <f>Tabela1[[#This Row],[Valor Total]]/Tabela1[[#This Row],[Quantidade]]</f>
        <v>479.98999999999995</v>
      </c>
      <c r="K414" t="str">
        <f>TEXT(Tabela1[[#This Row],[Data]],"aaaa-mm")</f>
        <v>2024-03</v>
      </c>
    </row>
    <row r="415" spans="1:11">
      <c r="A415" s="1">
        <v>45380</v>
      </c>
      <c r="B415" t="s">
        <v>68</v>
      </c>
      <c r="C415" t="s">
        <v>4</v>
      </c>
      <c r="D415" t="s">
        <v>66</v>
      </c>
      <c r="E415">
        <v>2</v>
      </c>
      <c r="F415">
        <v>99.7</v>
      </c>
      <c r="G415" t="s">
        <v>13</v>
      </c>
      <c r="H415" t="s">
        <v>71</v>
      </c>
      <c r="I415">
        <v>199.4</v>
      </c>
      <c r="J415">
        <f>Tabela1[[#This Row],[Valor Total]]/Tabela1[[#This Row],[Quantidade]]</f>
        <v>99.7</v>
      </c>
      <c r="K415" t="str">
        <f>TEXT(Tabela1[[#This Row],[Data]],"aaaa-mm")</f>
        <v>2024-03</v>
      </c>
    </row>
    <row r="416" spans="1:11">
      <c r="A416" s="1">
        <v>45381</v>
      </c>
      <c r="B416" t="s">
        <v>61</v>
      </c>
      <c r="C416" t="s">
        <v>8</v>
      </c>
      <c r="D416" t="s">
        <v>70</v>
      </c>
      <c r="E416">
        <v>9</v>
      </c>
      <c r="F416">
        <v>246.86</v>
      </c>
      <c r="G416" t="s">
        <v>11</v>
      </c>
      <c r="H416" t="s">
        <v>63</v>
      </c>
      <c r="I416">
        <v>2221.7399999999998</v>
      </c>
      <c r="J416">
        <f>Tabela1[[#This Row],[Valor Total]]/Tabela1[[#This Row],[Quantidade]]</f>
        <v>246.85999999999999</v>
      </c>
      <c r="K416" t="str">
        <f>TEXT(Tabela1[[#This Row],[Data]],"aaaa-mm")</f>
        <v>2024-03</v>
      </c>
    </row>
    <row r="417" spans="1:11">
      <c r="A417" s="1">
        <v>45382</v>
      </c>
      <c r="B417" t="s">
        <v>72</v>
      </c>
      <c r="C417" t="s">
        <v>5</v>
      </c>
      <c r="D417" t="s">
        <v>73</v>
      </c>
      <c r="E417">
        <v>9</v>
      </c>
      <c r="F417">
        <v>201.02</v>
      </c>
      <c r="G417" t="s">
        <v>15</v>
      </c>
      <c r="H417" t="s">
        <v>67</v>
      </c>
      <c r="I417">
        <v>1809.18</v>
      </c>
      <c r="J417">
        <f>Tabela1[[#This Row],[Valor Total]]/Tabela1[[#This Row],[Quantidade]]</f>
        <v>201.02</v>
      </c>
      <c r="K417" t="str">
        <f>TEXT(Tabela1[[#This Row],[Data]],"aaaa-mm")</f>
        <v>2024-03</v>
      </c>
    </row>
    <row r="418" spans="1:11">
      <c r="A418" s="1">
        <v>45384</v>
      </c>
      <c r="B418" t="s">
        <v>72</v>
      </c>
      <c r="C418" t="s">
        <v>8</v>
      </c>
      <c r="D418" t="s">
        <v>65</v>
      </c>
      <c r="E418">
        <v>9</v>
      </c>
      <c r="F418">
        <v>200.5</v>
      </c>
      <c r="G418" t="s">
        <v>15</v>
      </c>
      <c r="H418" t="s">
        <v>71</v>
      </c>
      <c r="I418">
        <v>1804.5</v>
      </c>
      <c r="J418">
        <f>Tabela1[[#This Row],[Valor Total]]/Tabela1[[#This Row],[Quantidade]]</f>
        <v>200.5</v>
      </c>
      <c r="K418" t="str">
        <f>TEXT(Tabela1[[#This Row],[Data]],"aaaa-mm")</f>
        <v>2024-04</v>
      </c>
    </row>
    <row r="419" spans="1:11">
      <c r="A419" s="1">
        <v>45385</v>
      </c>
      <c r="B419" t="s">
        <v>61</v>
      </c>
      <c r="C419" t="s">
        <v>5</v>
      </c>
      <c r="D419" t="s">
        <v>73</v>
      </c>
      <c r="E419">
        <v>5</v>
      </c>
      <c r="F419">
        <v>270.72000000000003</v>
      </c>
      <c r="G419" t="s">
        <v>12</v>
      </c>
      <c r="H419" t="s">
        <v>64</v>
      </c>
      <c r="I419">
        <v>1353.6</v>
      </c>
      <c r="J419">
        <f>Tabela1[[#This Row],[Valor Total]]/Tabela1[[#This Row],[Quantidade]]</f>
        <v>270.71999999999997</v>
      </c>
      <c r="K419" t="str">
        <f>TEXT(Tabela1[[#This Row],[Data]],"aaaa-mm")</f>
        <v>2024-04</v>
      </c>
    </row>
    <row r="420" spans="1:11">
      <c r="A420" s="1">
        <v>45386</v>
      </c>
      <c r="B420" t="s">
        <v>72</v>
      </c>
      <c r="C420" t="s">
        <v>4</v>
      </c>
      <c r="D420" t="s">
        <v>65</v>
      </c>
      <c r="E420">
        <v>4</v>
      </c>
      <c r="F420">
        <v>343.13</v>
      </c>
      <c r="G420" t="s">
        <v>12</v>
      </c>
      <c r="H420" t="s">
        <v>63</v>
      </c>
      <c r="I420">
        <v>1372.52</v>
      </c>
      <c r="J420">
        <f>Tabela1[[#This Row],[Valor Total]]/Tabela1[[#This Row],[Quantidade]]</f>
        <v>343.13</v>
      </c>
      <c r="K420" t="str">
        <f>TEXT(Tabela1[[#This Row],[Data]],"aaaa-mm")</f>
        <v>2024-04</v>
      </c>
    </row>
    <row r="421" spans="1:11">
      <c r="A421" s="1">
        <v>45387</v>
      </c>
      <c r="B421" t="s">
        <v>74</v>
      </c>
      <c r="C421" t="s">
        <v>6</v>
      </c>
      <c r="D421" t="s">
        <v>62</v>
      </c>
      <c r="E421">
        <v>7</v>
      </c>
      <c r="F421">
        <v>239.02</v>
      </c>
      <c r="G421" t="s">
        <v>13</v>
      </c>
      <c r="H421" t="s">
        <v>64</v>
      </c>
      <c r="I421">
        <v>1673.14</v>
      </c>
      <c r="J421">
        <f>Tabela1[[#This Row],[Valor Total]]/Tabela1[[#This Row],[Quantidade]]</f>
        <v>239.02</v>
      </c>
      <c r="K421" t="str">
        <f>TEXT(Tabela1[[#This Row],[Data]],"aaaa-mm")</f>
        <v>2024-04</v>
      </c>
    </row>
    <row r="422" spans="1:11">
      <c r="A422" s="1">
        <v>45388</v>
      </c>
      <c r="B422" t="s">
        <v>69</v>
      </c>
      <c r="C422" t="s">
        <v>6</v>
      </c>
      <c r="D422" t="s">
        <v>66</v>
      </c>
      <c r="E422">
        <v>6</v>
      </c>
      <c r="F422">
        <v>170.94</v>
      </c>
      <c r="G422" t="s">
        <v>12</v>
      </c>
      <c r="H422" t="s">
        <v>64</v>
      </c>
      <c r="I422">
        <v>1025.6400000000001</v>
      </c>
      <c r="J422">
        <f>Tabela1[[#This Row],[Valor Total]]/Tabela1[[#This Row],[Quantidade]]</f>
        <v>170.94000000000003</v>
      </c>
      <c r="K422" t="str">
        <f>TEXT(Tabela1[[#This Row],[Data]],"aaaa-mm")</f>
        <v>2024-04</v>
      </c>
    </row>
    <row r="423" spans="1:11">
      <c r="A423" s="1">
        <v>45389</v>
      </c>
      <c r="B423" t="s">
        <v>74</v>
      </c>
      <c r="C423" t="s">
        <v>4</v>
      </c>
      <c r="D423" t="s">
        <v>65</v>
      </c>
      <c r="E423">
        <v>4</v>
      </c>
      <c r="F423">
        <v>269.2</v>
      </c>
      <c r="G423" t="s">
        <v>12</v>
      </c>
      <c r="H423" t="s">
        <v>64</v>
      </c>
      <c r="I423">
        <v>1076.8</v>
      </c>
      <c r="J423">
        <f>Tabela1[[#This Row],[Valor Total]]/Tabela1[[#This Row],[Quantidade]]</f>
        <v>269.2</v>
      </c>
      <c r="K423" t="str">
        <f>TEXT(Tabela1[[#This Row],[Data]],"aaaa-mm")</f>
        <v>2024-04</v>
      </c>
    </row>
    <row r="424" spans="1:11">
      <c r="A424" s="1">
        <v>45390</v>
      </c>
      <c r="B424" t="s">
        <v>61</v>
      </c>
      <c r="C424" t="s">
        <v>4</v>
      </c>
      <c r="D424" t="s">
        <v>65</v>
      </c>
      <c r="E424">
        <v>8</v>
      </c>
      <c r="F424">
        <v>283.57</v>
      </c>
      <c r="G424" t="s">
        <v>15</v>
      </c>
      <c r="H424" t="s">
        <v>71</v>
      </c>
      <c r="I424">
        <v>2268.56</v>
      </c>
      <c r="J424">
        <f>Tabela1[[#This Row],[Valor Total]]/Tabela1[[#This Row],[Quantidade]]</f>
        <v>283.57</v>
      </c>
      <c r="K424" t="str">
        <f>TEXT(Tabela1[[#This Row],[Data]],"aaaa-mm")</f>
        <v>2024-04</v>
      </c>
    </row>
    <row r="425" spans="1:11">
      <c r="A425" s="1">
        <v>45391</v>
      </c>
      <c r="B425" t="s">
        <v>69</v>
      </c>
      <c r="C425" t="s">
        <v>6</v>
      </c>
      <c r="D425" t="s">
        <v>66</v>
      </c>
      <c r="E425">
        <v>3</v>
      </c>
      <c r="F425">
        <v>260.10000000000002</v>
      </c>
      <c r="G425" t="s">
        <v>11</v>
      </c>
      <c r="H425" t="s">
        <v>63</v>
      </c>
      <c r="I425">
        <v>780.30000000000007</v>
      </c>
      <c r="J425">
        <f>Tabela1[[#This Row],[Valor Total]]/Tabela1[[#This Row],[Quantidade]]</f>
        <v>260.10000000000002</v>
      </c>
      <c r="K425" t="str">
        <f>TEXT(Tabela1[[#This Row],[Data]],"aaaa-mm")</f>
        <v>2024-04</v>
      </c>
    </row>
    <row r="426" spans="1:11">
      <c r="A426" s="1">
        <v>45392</v>
      </c>
      <c r="B426" t="s">
        <v>74</v>
      </c>
      <c r="C426" t="s">
        <v>8</v>
      </c>
      <c r="D426" t="s">
        <v>66</v>
      </c>
      <c r="E426">
        <v>1</v>
      </c>
      <c r="F426">
        <v>232.7</v>
      </c>
      <c r="G426" t="s">
        <v>11</v>
      </c>
      <c r="H426" t="s">
        <v>67</v>
      </c>
      <c r="I426">
        <v>232.7</v>
      </c>
      <c r="J426">
        <f>Tabela1[[#This Row],[Valor Total]]/Tabela1[[#This Row],[Quantidade]]</f>
        <v>232.7</v>
      </c>
      <c r="K426" t="str">
        <f>TEXT(Tabela1[[#This Row],[Data]],"aaaa-mm")</f>
        <v>2024-04</v>
      </c>
    </row>
    <row r="427" spans="1:11">
      <c r="A427" s="1">
        <v>45393</v>
      </c>
      <c r="B427" t="s">
        <v>69</v>
      </c>
      <c r="C427" t="s">
        <v>7</v>
      </c>
      <c r="D427" t="s">
        <v>66</v>
      </c>
      <c r="E427">
        <v>9</v>
      </c>
      <c r="F427">
        <v>331.38</v>
      </c>
      <c r="G427" t="s">
        <v>14</v>
      </c>
      <c r="H427" t="s">
        <v>63</v>
      </c>
      <c r="I427">
        <v>2982.42</v>
      </c>
      <c r="J427">
        <f>Tabela1[[#This Row],[Valor Total]]/Tabela1[[#This Row],[Quantidade]]</f>
        <v>331.38</v>
      </c>
      <c r="K427" t="str">
        <f>TEXT(Tabela1[[#This Row],[Data]],"aaaa-mm")</f>
        <v>2024-04</v>
      </c>
    </row>
    <row r="428" spans="1:11">
      <c r="A428" s="1">
        <v>45395</v>
      </c>
      <c r="B428" t="s">
        <v>74</v>
      </c>
      <c r="C428" t="s">
        <v>8</v>
      </c>
      <c r="D428" t="s">
        <v>70</v>
      </c>
      <c r="E428">
        <v>6</v>
      </c>
      <c r="F428">
        <v>189.06</v>
      </c>
      <c r="G428" t="s">
        <v>11</v>
      </c>
      <c r="H428" t="s">
        <v>64</v>
      </c>
      <c r="I428">
        <v>1134.3599999999999</v>
      </c>
      <c r="J428">
        <f>Tabela1[[#This Row],[Valor Total]]/Tabela1[[#This Row],[Quantidade]]</f>
        <v>189.05999999999997</v>
      </c>
      <c r="K428" t="str">
        <f>TEXT(Tabela1[[#This Row],[Data]],"aaaa-mm")</f>
        <v>2024-04</v>
      </c>
    </row>
    <row r="429" spans="1:11">
      <c r="A429" s="1">
        <v>45396</v>
      </c>
      <c r="B429" t="s">
        <v>69</v>
      </c>
      <c r="C429" t="s">
        <v>4</v>
      </c>
      <c r="D429" t="s">
        <v>62</v>
      </c>
      <c r="E429">
        <v>2</v>
      </c>
      <c r="F429">
        <v>244.96</v>
      </c>
      <c r="G429" t="s">
        <v>14</v>
      </c>
      <c r="H429" t="s">
        <v>67</v>
      </c>
      <c r="I429">
        <v>489.92</v>
      </c>
      <c r="J429">
        <f>Tabela1[[#This Row],[Valor Total]]/Tabela1[[#This Row],[Quantidade]]</f>
        <v>244.96</v>
      </c>
      <c r="K429" t="str">
        <f>TEXT(Tabela1[[#This Row],[Data]],"aaaa-mm")</f>
        <v>2024-04</v>
      </c>
    </row>
    <row r="430" spans="1:11">
      <c r="A430" s="1">
        <v>45397</v>
      </c>
      <c r="B430" t="s">
        <v>69</v>
      </c>
      <c r="C430" t="s">
        <v>5</v>
      </c>
      <c r="D430" t="s">
        <v>62</v>
      </c>
      <c r="E430">
        <v>1</v>
      </c>
      <c r="F430">
        <v>453.21</v>
      </c>
      <c r="G430" t="s">
        <v>15</v>
      </c>
      <c r="H430" t="s">
        <v>63</v>
      </c>
      <c r="I430">
        <v>453.21</v>
      </c>
      <c r="J430">
        <f>Tabela1[[#This Row],[Valor Total]]/Tabela1[[#This Row],[Quantidade]]</f>
        <v>453.21</v>
      </c>
      <c r="K430" t="str">
        <f>TEXT(Tabela1[[#This Row],[Data]],"aaaa-mm")</f>
        <v>2024-04</v>
      </c>
    </row>
    <row r="431" spans="1:11">
      <c r="A431" s="1">
        <v>45398</v>
      </c>
      <c r="B431" t="s">
        <v>61</v>
      </c>
      <c r="C431" t="s">
        <v>8</v>
      </c>
      <c r="D431" t="s">
        <v>73</v>
      </c>
      <c r="E431">
        <v>8</v>
      </c>
      <c r="F431">
        <v>335.96</v>
      </c>
      <c r="G431" t="s">
        <v>15</v>
      </c>
      <c r="H431" t="s">
        <v>67</v>
      </c>
      <c r="I431">
        <v>2687.68</v>
      </c>
      <c r="J431">
        <f>Tabela1[[#This Row],[Valor Total]]/Tabela1[[#This Row],[Quantidade]]</f>
        <v>335.96</v>
      </c>
      <c r="K431" t="str">
        <f>TEXT(Tabela1[[#This Row],[Data]],"aaaa-mm")</f>
        <v>2024-04</v>
      </c>
    </row>
    <row r="432" spans="1:11">
      <c r="A432" s="1">
        <v>45399</v>
      </c>
      <c r="B432" t="s">
        <v>68</v>
      </c>
      <c r="C432" t="s">
        <v>5</v>
      </c>
      <c r="D432" t="s">
        <v>66</v>
      </c>
      <c r="E432">
        <v>9</v>
      </c>
      <c r="F432">
        <v>88.73</v>
      </c>
      <c r="G432" t="s">
        <v>15</v>
      </c>
      <c r="H432" t="s">
        <v>64</v>
      </c>
      <c r="I432">
        <v>798.57</v>
      </c>
      <c r="J432">
        <f>Tabela1[[#This Row],[Valor Total]]/Tabela1[[#This Row],[Quantidade]]</f>
        <v>88.73</v>
      </c>
      <c r="K432" t="str">
        <f>TEXT(Tabela1[[#This Row],[Data]],"aaaa-mm")</f>
        <v>2024-04</v>
      </c>
    </row>
    <row r="433" spans="1:11">
      <c r="A433" s="1">
        <v>45400</v>
      </c>
      <c r="B433" t="s">
        <v>74</v>
      </c>
      <c r="C433" t="s">
        <v>5</v>
      </c>
      <c r="D433" t="s">
        <v>62</v>
      </c>
      <c r="E433">
        <v>1</v>
      </c>
      <c r="F433">
        <v>336.71</v>
      </c>
      <c r="G433" t="s">
        <v>15</v>
      </c>
      <c r="H433" t="s">
        <v>67</v>
      </c>
      <c r="I433">
        <v>336.71</v>
      </c>
      <c r="J433">
        <f>Tabela1[[#This Row],[Valor Total]]/Tabela1[[#This Row],[Quantidade]]</f>
        <v>336.71</v>
      </c>
      <c r="K433" t="str">
        <f>TEXT(Tabela1[[#This Row],[Data]],"aaaa-mm")</f>
        <v>2024-04</v>
      </c>
    </row>
    <row r="434" spans="1:11">
      <c r="A434" s="1">
        <v>45401</v>
      </c>
      <c r="B434" t="s">
        <v>69</v>
      </c>
      <c r="C434" t="s">
        <v>8</v>
      </c>
      <c r="D434" t="s">
        <v>66</v>
      </c>
      <c r="E434">
        <v>3</v>
      </c>
      <c r="F434">
        <v>435.31</v>
      </c>
      <c r="G434" t="s">
        <v>12</v>
      </c>
      <c r="H434" t="s">
        <v>67</v>
      </c>
      <c r="I434">
        <v>1305.93</v>
      </c>
      <c r="J434">
        <f>Tabela1[[#This Row],[Valor Total]]/Tabela1[[#This Row],[Quantidade]]</f>
        <v>435.31</v>
      </c>
      <c r="K434" t="str">
        <f>TEXT(Tabela1[[#This Row],[Data]],"aaaa-mm")</f>
        <v>2024-04</v>
      </c>
    </row>
    <row r="435" spans="1:11">
      <c r="A435" s="1">
        <v>45402</v>
      </c>
      <c r="B435" t="s">
        <v>61</v>
      </c>
      <c r="C435" t="s">
        <v>7</v>
      </c>
      <c r="D435" t="s">
        <v>66</v>
      </c>
      <c r="E435">
        <v>2</v>
      </c>
      <c r="F435">
        <v>322.08999999999997</v>
      </c>
      <c r="G435" t="s">
        <v>12</v>
      </c>
      <c r="H435" t="s">
        <v>67</v>
      </c>
      <c r="I435">
        <v>644.17999999999995</v>
      </c>
      <c r="J435">
        <f>Tabela1[[#This Row],[Valor Total]]/Tabela1[[#This Row],[Quantidade]]</f>
        <v>322.08999999999997</v>
      </c>
      <c r="K435" t="str">
        <f>TEXT(Tabela1[[#This Row],[Data]],"aaaa-mm")</f>
        <v>2024-04</v>
      </c>
    </row>
    <row r="436" spans="1:11">
      <c r="A436" s="1">
        <v>45403</v>
      </c>
      <c r="B436" t="s">
        <v>74</v>
      </c>
      <c r="C436" t="s">
        <v>5</v>
      </c>
      <c r="D436" t="s">
        <v>70</v>
      </c>
      <c r="E436">
        <v>3</v>
      </c>
      <c r="F436">
        <v>432.14</v>
      </c>
      <c r="G436" t="s">
        <v>12</v>
      </c>
      <c r="H436" t="s">
        <v>64</v>
      </c>
      <c r="I436">
        <v>1296.42</v>
      </c>
      <c r="J436">
        <f>Tabela1[[#This Row],[Valor Total]]/Tabela1[[#This Row],[Quantidade]]</f>
        <v>432.14000000000004</v>
      </c>
      <c r="K436" t="str">
        <f>TEXT(Tabela1[[#This Row],[Data]],"aaaa-mm")</f>
        <v>2024-04</v>
      </c>
    </row>
    <row r="437" spans="1:11">
      <c r="A437" s="1">
        <v>45404</v>
      </c>
      <c r="B437" t="s">
        <v>69</v>
      </c>
      <c r="C437" t="s">
        <v>5</v>
      </c>
      <c r="D437" t="s">
        <v>62</v>
      </c>
      <c r="E437">
        <v>4</v>
      </c>
      <c r="F437">
        <v>124.17</v>
      </c>
      <c r="G437" t="s">
        <v>14</v>
      </c>
      <c r="H437" t="s">
        <v>64</v>
      </c>
      <c r="I437">
        <v>496.68</v>
      </c>
      <c r="J437">
        <f>Tabela1[[#This Row],[Valor Total]]/Tabela1[[#This Row],[Quantidade]]</f>
        <v>124.17</v>
      </c>
      <c r="K437" t="str">
        <f>TEXT(Tabela1[[#This Row],[Data]],"aaaa-mm")</f>
        <v>2024-04</v>
      </c>
    </row>
    <row r="438" spans="1:11">
      <c r="A438" s="1">
        <v>45405</v>
      </c>
      <c r="B438" t="s">
        <v>61</v>
      </c>
      <c r="C438" t="s">
        <v>5</v>
      </c>
      <c r="D438" t="s">
        <v>66</v>
      </c>
      <c r="E438">
        <v>6</v>
      </c>
      <c r="F438">
        <v>453.04</v>
      </c>
      <c r="G438" t="s">
        <v>11</v>
      </c>
      <c r="H438" t="s">
        <v>63</v>
      </c>
      <c r="I438">
        <v>2718.24</v>
      </c>
      <c r="J438">
        <f>Tabela1[[#This Row],[Valor Total]]/Tabela1[[#This Row],[Quantidade]]</f>
        <v>453.03999999999996</v>
      </c>
      <c r="K438" t="str">
        <f>TEXT(Tabela1[[#This Row],[Data]],"aaaa-mm")</f>
        <v>2024-04</v>
      </c>
    </row>
    <row r="439" spans="1:11">
      <c r="A439" s="1">
        <v>45407</v>
      </c>
      <c r="B439" t="s">
        <v>74</v>
      </c>
      <c r="C439" t="s">
        <v>6</v>
      </c>
      <c r="D439" t="s">
        <v>70</v>
      </c>
      <c r="E439">
        <v>5</v>
      </c>
      <c r="F439">
        <v>171.86</v>
      </c>
      <c r="G439" t="s">
        <v>14</v>
      </c>
      <c r="H439" t="s">
        <v>63</v>
      </c>
      <c r="I439">
        <v>859.30000000000007</v>
      </c>
      <c r="J439">
        <f>Tabela1[[#This Row],[Valor Total]]/Tabela1[[#This Row],[Quantidade]]</f>
        <v>171.86</v>
      </c>
      <c r="K439" t="str">
        <f>TEXT(Tabela1[[#This Row],[Data]],"aaaa-mm")</f>
        <v>2024-04</v>
      </c>
    </row>
    <row r="440" spans="1:11">
      <c r="A440" s="1">
        <v>45408</v>
      </c>
      <c r="B440" t="s">
        <v>68</v>
      </c>
      <c r="C440" t="s">
        <v>5</v>
      </c>
      <c r="D440" t="s">
        <v>62</v>
      </c>
      <c r="E440">
        <v>9</v>
      </c>
      <c r="F440">
        <v>452.45</v>
      </c>
      <c r="G440" t="s">
        <v>13</v>
      </c>
      <c r="H440" t="s">
        <v>64</v>
      </c>
      <c r="I440">
        <v>4072.05</v>
      </c>
      <c r="J440">
        <f>Tabela1[[#This Row],[Valor Total]]/Tabela1[[#This Row],[Quantidade]]</f>
        <v>452.45000000000005</v>
      </c>
      <c r="K440" t="str">
        <f>TEXT(Tabela1[[#This Row],[Data]],"aaaa-mm")</f>
        <v>2024-04</v>
      </c>
    </row>
    <row r="441" spans="1:11">
      <c r="A441" s="1">
        <v>45409</v>
      </c>
      <c r="B441" t="s">
        <v>61</v>
      </c>
      <c r="C441" t="s">
        <v>5</v>
      </c>
      <c r="D441" t="s">
        <v>66</v>
      </c>
      <c r="E441">
        <v>2</v>
      </c>
      <c r="F441">
        <v>108.31</v>
      </c>
      <c r="G441" t="s">
        <v>12</v>
      </c>
      <c r="H441" t="s">
        <v>71</v>
      </c>
      <c r="I441">
        <v>216.62</v>
      </c>
      <c r="J441">
        <f>Tabela1[[#This Row],[Valor Total]]/Tabela1[[#This Row],[Quantidade]]</f>
        <v>108.31</v>
      </c>
      <c r="K441" t="str">
        <f>TEXT(Tabela1[[#This Row],[Data]],"aaaa-mm")</f>
        <v>2024-04</v>
      </c>
    </row>
    <row r="442" spans="1:11">
      <c r="A442" s="1">
        <v>45410</v>
      </c>
      <c r="B442" t="s">
        <v>68</v>
      </c>
      <c r="C442" t="s">
        <v>5</v>
      </c>
      <c r="D442" t="s">
        <v>70</v>
      </c>
      <c r="E442">
        <v>4</v>
      </c>
      <c r="F442">
        <v>339.41</v>
      </c>
      <c r="G442" t="s">
        <v>12</v>
      </c>
      <c r="H442" t="s">
        <v>67</v>
      </c>
      <c r="I442">
        <v>1357.64</v>
      </c>
      <c r="J442">
        <f>Tabela1[[#This Row],[Valor Total]]/Tabela1[[#This Row],[Quantidade]]</f>
        <v>339.41</v>
      </c>
      <c r="K442" t="str">
        <f>TEXT(Tabela1[[#This Row],[Data]],"aaaa-mm")</f>
        <v>2024-04</v>
      </c>
    </row>
    <row r="443" spans="1:11">
      <c r="A443" s="1">
        <v>45411</v>
      </c>
      <c r="B443" t="s">
        <v>68</v>
      </c>
      <c r="C443" t="s">
        <v>7</v>
      </c>
      <c r="D443" t="s">
        <v>73</v>
      </c>
      <c r="E443">
        <v>5</v>
      </c>
      <c r="F443">
        <v>90.97</v>
      </c>
      <c r="G443" t="s">
        <v>13</v>
      </c>
      <c r="H443" t="s">
        <v>71</v>
      </c>
      <c r="I443">
        <v>454.85</v>
      </c>
      <c r="J443">
        <f>Tabela1[[#This Row],[Valor Total]]/Tabela1[[#This Row],[Quantidade]]</f>
        <v>90.97</v>
      </c>
      <c r="K443" t="str">
        <f>TEXT(Tabela1[[#This Row],[Data]],"aaaa-mm")</f>
        <v>2024-04</v>
      </c>
    </row>
    <row r="444" spans="1:11">
      <c r="A444" s="1">
        <v>45412</v>
      </c>
      <c r="B444" t="s">
        <v>69</v>
      </c>
      <c r="C444" t="s">
        <v>4</v>
      </c>
      <c r="D444" t="s">
        <v>62</v>
      </c>
      <c r="E444">
        <v>6</v>
      </c>
      <c r="F444">
        <v>204.67</v>
      </c>
      <c r="G444" t="s">
        <v>11</v>
      </c>
      <c r="H444" t="s">
        <v>64</v>
      </c>
      <c r="I444">
        <v>1228.02</v>
      </c>
      <c r="J444">
        <f>Tabela1[[#This Row],[Valor Total]]/Tabela1[[#This Row],[Quantidade]]</f>
        <v>204.67</v>
      </c>
      <c r="K444" t="str">
        <f>TEXT(Tabela1[[#This Row],[Data]],"aaaa-mm")</f>
        <v>2024-04</v>
      </c>
    </row>
    <row r="445" spans="1:11">
      <c r="A445" s="1">
        <v>45413</v>
      </c>
      <c r="B445" t="s">
        <v>68</v>
      </c>
      <c r="C445" t="s">
        <v>4</v>
      </c>
      <c r="D445" t="s">
        <v>66</v>
      </c>
      <c r="E445">
        <v>4</v>
      </c>
      <c r="F445">
        <v>309.52999999999997</v>
      </c>
      <c r="G445" t="s">
        <v>13</v>
      </c>
      <c r="H445" t="s">
        <v>67</v>
      </c>
      <c r="I445">
        <v>1238.1199999999999</v>
      </c>
      <c r="J445">
        <f>Tabela1[[#This Row],[Valor Total]]/Tabela1[[#This Row],[Quantidade]]</f>
        <v>309.52999999999997</v>
      </c>
      <c r="K445" t="str">
        <f>TEXT(Tabela1[[#This Row],[Data]],"aaaa-mm")</f>
        <v>2024-05</v>
      </c>
    </row>
    <row r="446" spans="1:11">
      <c r="A446" s="1">
        <v>45414</v>
      </c>
      <c r="B446" t="s">
        <v>74</v>
      </c>
      <c r="C446" t="s">
        <v>4</v>
      </c>
      <c r="D446" t="s">
        <v>65</v>
      </c>
      <c r="E446">
        <v>2</v>
      </c>
      <c r="F446">
        <v>467.64</v>
      </c>
      <c r="G446" t="s">
        <v>15</v>
      </c>
      <c r="H446" t="s">
        <v>67</v>
      </c>
      <c r="I446">
        <v>935.28</v>
      </c>
      <c r="J446">
        <f>Tabela1[[#This Row],[Valor Total]]/Tabela1[[#This Row],[Quantidade]]</f>
        <v>467.64</v>
      </c>
      <c r="K446" t="str">
        <f>TEXT(Tabela1[[#This Row],[Data]],"aaaa-mm")</f>
        <v>2024-05</v>
      </c>
    </row>
    <row r="447" spans="1:11">
      <c r="A447" s="1">
        <v>45415</v>
      </c>
      <c r="B447" t="s">
        <v>69</v>
      </c>
      <c r="C447" t="s">
        <v>4</v>
      </c>
      <c r="D447" t="s">
        <v>73</v>
      </c>
      <c r="E447">
        <v>7</v>
      </c>
      <c r="F447">
        <v>458.68</v>
      </c>
      <c r="G447" t="s">
        <v>11</v>
      </c>
      <c r="H447" t="s">
        <v>64</v>
      </c>
      <c r="I447">
        <v>3210.76</v>
      </c>
      <c r="J447">
        <f>Tabela1[[#This Row],[Valor Total]]/Tabela1[[#This Row],[Quantidade]]</f>
        <v>458.68</v>
      </c>
      <c r="K447" t="str">
        <f>TEXT(Tabela1[[#This Row],[Data]],"aaaa-mm")</f>
        <v>2024-05</v>
      </c>
    </row>
    <row r="448" spans="1:11">
      <c r="A448" s="1">
        <v>45416</v>
      </c>
      <c r="B448" t="s">
        <v>72</v>
      </c>
      <c r="C448" t="s">
        <v>6</v>
      </c>
      <c r="D448" t="s">
        <v>66</v>
      </c>
      <c r="E448">
        <v>8</v>
      </c>
      <c r="F448">
        <v>353.31</v>
      </c>
      <c r="G448" t="s">
        <v>13</v>
      </c>
      <c r="H448" t="s">
        <v>71</v>
      </c>
      <c r="I448">
        <v>2826.48</v>
      </c>
      <c r="J448">
        <f>Tabela1[[#This Row],[Valor Total]]/Tabela1[[#This Row],[Quantidade]]</f>
        <v>353.31</v>
      </c>
      <c r="K448" t="str">
        <f>TEXT(Tabela1[[#This Row],[Data]],"aaaa-mm")</f>
        <v>2024-05</v>
      </c>
    </row>
    <row r="449" spans="1:11">
      <c r="A449" s="1">
        <v>45418</v>
      </c>
      <c r="B449" t="s">
        <v>68</v>
      </c>
      <c r="C449" t="s">
        <v>5</v>
      </c>
      <c r="D449" t="s">
        <v>62</v>
      </c>
      <c r="E449">
        <v>8</v>
      </c>
      <c r="F449">
        <v>64.599999999999994</v>
      </c>
      <c r="G449" t="s">
        <v>13</v>
      </c>
      <c r="H449" t="s">
        <v>71</v>
      </c>
      <c r="I449">
        <v>516.79999999999995</v>
      </c>
      <c r="J449">
        <f>Tabela1[[#This Row],[Valor Total]]/Tabela1[[#This Row],[Quantidade]]</f>
        <v>64.599999999999994</v>
      </c>
      <c r="K449" t="str">
        <f>TEXT(Tabela1[[#This Row],[Data]],"aaaa-mm")</f>
        <v>2024-05</v>
      </c>
    </row>
    <row r="450" spans="1:11">
      <c r="A450" s="1">
        <v>45419</v>
      </c>
      <c r="B450" t="s">
        <v>74</v>
      </c>
      <c r="C450" t="s">
        <v>4</v>
      </c>
      <c r="D450" t="s">
        <v>66</v>
      </c>
      <c r="E450">
        <v>4</v>
      </c>
      <c r="F450">
        <v>113.89</v>
      </c>
      <c r="G450" t="s">
        <v>14</v>
      </c>
      <c r="H450" t="s">
        <v>71</v>
      </c>
      <c r="I450">
        <v>455.56</v>
      </c>
      <c r="J450">
        <f>Tabela1[[#This Row],[Valor Total]]/Tabela1[[#This Row],[Quantidade]]</f>
        <v>113.89</v>
      </c>
      <c r="K450" t="str">
        <f>TEXT(Tabela1[[#This Row],[Data]],"aaaa-mm")</f>
        <v>2024-05</v>
      </c>
    </row>
    <row r="451" spans="1:11">
      <c r="A451" s="1">
        <v>45420</v>
      </c>
      <c r="B451" t="s">
        <v>68</v>
      </c>
      <c r="C451" t="s">
        <v>6</v>
      </c>
      <c r="D451" t="s">
        <v>70</v>
      </c>
      <c r="E451">
        <v>3</v>
      </c>
      <c r="F451">
        <v>300.58</v>
      </c>
      <c r="G451" t="s">
        <v>13</v>
      </c>
      <c r="H451" t="s">
        <v>71</v>
      </c>
      <c r="I451">
        <v>901.74</v>
      </c>
      <c r="J451">
        <f>Tabela1[[#This Row],[Valor Total]]/Tabela1[[#This Row],[Quantidade]]</f>
        <v>300.58</v>
      </c>
      <c r="K451" t="str">
        <f>TEXT(Tabela1[[#This Row],[Data]],"aaaa-mm")</f>
        <v>2024-05</v>
      </c>
    </row>
    <row r="452" spans="1:11">
      <c r="A452" s="1">
        <v>45421</v>
      </c>
      <c r="B452" t="s">
        <v>74</v>
      </c>
      <c r="C452" t="s">
        <v>8</v>
      </c>
      <c r="D452" t="s">
        <v>62</v>
      </c>
      <c r="E452">
        <v>1</v>
      </c>
      <c r="F452">
        <v>230.65</v>
      </c>
      <c r="G452" t="s">
        <v>12</v>
      </c>
      <c r="H452" t="s">
        <v>64</v>
      </c>
      <c r="I452">
        <v>230.65</v>
      </c>
      <c r="J452">
        <f>Tabela1[[#This Row],[Valor Total]]/Tabela1[[#This Row],[Quantidade]]</f>
        <v>230.65</v>
      </c>
      <c r="K452" t="str">
        <f>TEXT(Tabela1[[#This Row],[Data]],"aaaa-mm")</f>
        <v>2024-05</v>
      </c>
    </row>
    <row r="453" spans="1:11">
      <c r="A453" s="1">
        <v>45422</v>
      </c>
      <c r="B453" t="s">
        <v>72</v>
      </c>
      <c r="C453" t="s">
        <v>4</v>
      </c>
      <c r="D453" t="s">
        <v>65</v>
      </c>
      <c r="E453">
        <v>1</v>
      </c>
      <c r="F453">
        <v>213.68</v>
      </c>
      <c r="G453" t="s">
        <v>12</v>
      </c>
      <c r="H453" t="s">
        <v>64</v>
      </c>
      <c r="I453">
        <v>213.68</v>
      </c>
      <c r="J453">
        <f>Tabela1[[#This Row],[Valor Total]]/Tabela1[[#This Row],[Quantidade]]</f>
        <v>213.68</v>
      </c>
      <c r="K453" t="str">
        <f>TEXT(Tabela1[[#This Row],[Data]],"aaaa-mm")</f>
        <v>2024-05</v>
      </c>
    </row>
    <row r="454" spans="1:11">
      <c r="A454" s="1">
        <v>45423</v>
      </c>
      <c r="B454" t="s">
        <v>72</v>
      </c>
      <c r="C454" t="s">
        <v>6</v>
      </c>
      <c r="D454" t="s">
        <v>70</v>
      </c>
      <c r="E454">
        <v>1</v>
      </c>
      <c r="F454">
        <v>361.22</v>
      </c>
      <c r="G454" t="s">
        <v>12</v>
      </c>
      <c r="H454" t="s">
        <v>63</v>
      </c>
      <c r="I454">
        <v>361.22</v>
      </c>
      <c r="J454">
        <f>Tabela1[[#This Row],[Valor Total]]/Tabela1[[#This Row],[Quantidade]]</f>
        <v>361.22</v>
      </c>
      <c r="K454" t="str">
        <f>TEXT(Tabela1[[#This Row],[Data]],"aaaa-mm")</f>
        <v>2024-05</v>
      </c>
    </row>
    <row r="455" spans="1:11">
      <c r="A455" s="1">
        <v>45424</v>
      </c>
      <c r="B455" t="s">
        <v>61</v>
      </c>
      <c r="C455" t="s">
        <v>4</v>
      </c>
      <c r="D455" t="s">
        <v>62</v>
      </c>
      <c r="E455">
        <v>8</v>
      </c>
      <c r="F455">
        <v>160.53</v>
      </c>
      <c r="G455" t="s">
        <v>15</v>
      </c>
      <c r="H455" t="s">
        <v>63</v>
      </c>
      <c r="I455">
        <v>1284.24</v>
      </c>
      <c r="J455">
        <f>Tabela1[[#This Row],[Valor Total]]/Tabela1[[#This Row],[Quantidade]]</f>
        <v>160.53</v>
      </c>
      <c r="K455" t="str">
        <f>TEXT(Tabela1[[#This Row],[Data]],"aaaa-mm")</f>
        <v>2024-05</v>
      </c>
    </row>
    <row r="456" spans="1:11">
      <c r="A456" s="1">
        <v>45425</v>
      </c>
      <c r="B456" t="s">
        <v>68</v>
      </c>
      <c r="C456" t="s">
        <v>4</v>
      </c>
      <c r="D456" t="s">
        <v>65</v>
      </c>
      <c r="E456">
        <v>9</v>
      </c>
      <c r="F456">
        <v>36.450000000000003</v>
      </c>
      <c r="G456" t="s">
        <v>13</v>
      </c>
      <c r="H456" t="s">
        <v>71</v>
      </c>
      <c r="I456">
        <v>328.05</v>
      </c>
      <c r="J456">
        <f>Tabela1[[#This Row],[Valor Total]]/Tabela1[[#This Row],[Quantidade]]</f>
        <v>36.450000000000003</v>
      </c>
      <c r="K456" t="str">
        <f>TEXT(Tabela1[[#This Row],[Data]],"aaaa-mm")</f>
        <v>2024-05</v>
      </c>
    </row>
    <row r="457" spans="1:11">
      <c r="A457" s="1">
        <v>45426</v>
      </c>
      <c r="B457" t="s">
        <v>69</v>
      </c>
      <c r="C457" t="s">
        <v>5</v>
      </c>
      <c r="D457" t="s">
        <v>66</v>
      </c>
      <c r="E457">
        <v>7</v>
      </c>
      <c r="F457">
        <v>297.54000000000002</v>
      </c>
      <c r="G457" t="s">
        <v>15</v>
      </c>
      <c r="H457" t="s">
        <v>63</v>
      </c>
      <c r="I457">
        <v>2082.7800000000002</v>
      </c>
      <c r="J457">
        <f>Tabela1[[#This Row],[Valor Total]]/Tabela1[[#This Row],[Quantidade]]</f>
        <v>297.54000000000002</v>
      </c>
      <c r="K457" t="str">
        <f>TEXT(Tabela1[[#This Row],[Data]],"aaaa-mm")</f>
        <v>2024-05</v>
      </c>
    </row>
    <row r="458" spans="1:11">
      <c r="A458" s="1">
        <v>45427</v>
      </c>
      <c r="B458" t="s">
        <v>72</v>
      </c>
      <c r="C458" t="s">
        <v>7</v>
      </c>
      <c r="D458" t="s">
        <v>66</v>
      </c>
      <c r="E458">
        <v>4</v>
      </c>
      <c r="F458">
        <v>269.31</v>
      </c>
      <c r="G458" t="s">
        <v>12</v>
      </c>
      <c r="H458" t="s">
        <v>67</v>
      </c>
      <c r="I458">
        <v>1077.24</v>
      </c>
      <c r="J458">
        <f>Tabela1[[#This Row],[Valor Total]]/Tabela1[[#This Row],[Quantidade]]</f>
        <v>269.31</v>
      </c>
      <c r="K458" t="str">
        <f>TEXT(Tabela1[[#This Row],[Data]],"aaaa-mm")</f>
        <v>2024-05</v>
      </c>
    </row>
    <row r="459" spans="1:11">
      <c r="A459" s="1">
        <v>45429</v>
      </c>
      <c r="B459" t="s">
        <v>72</v>
      </c>
      <c r="C459" t="s">
        <v>7</v>
      </c>
      <c r="D459" t="s">
        <v>62</v>
      </c>
      <c r="E459">
        <v>2</v>
      </c>
      <c r="F459">
        <v>422.4</v>
      </c>
      <c r="G459" t="s">
        <v>11</v>
      </c>
      <c r="H459" t="s">
        <v>67</v>
      </c>
      <c r="I459">
        <v>844.8</v>
      </c>
      <c r="J459">
        <f>Tabela1[[#This Row],[Valor Total]]/Tabela1[[#This Row],[Quantidade]]</f>
        <v>422.4</v>
      </c>
      <c r="K459" t="str">
        <f>TEXT(Tabela1[[#This Row],[Data]],"aaaa-mm")</f>
        <v>2024-05</v>
      </c>
    </row>
    <row r="460" spans="1:11">
      <c r="A460" s="1">
        <v>45430</v>
      </c>
      <c r="B460" t="s">
        <v>74</v>
      </c>
      <c r="C460" t="s">
        <v>7</v>
      </c>
      <c r="D460" t="s">
        <v>73</v>
      </c>
      <c r="E460">
        <v>4</v>
      </c>
      <c r="F460">
        <v>381.26</v>
      </c>
      <c r="G460" t="s">
        <v>12</v>
      </c>
      <c r="H460" t="s">
        <v>64</v>
      </c>
      <c r="I460">
        <v>1525.04</v>
      </c>
      <c r="J460">
        <f>Tabela1[[#This Row],[Valor Total]]/Tabela1[[#This Row],[Quantidade]]</f>
        <v>381.26</v>
      </c>
      <c r="K460" t="str">
        <f>TEXT(Tabela1[[#This Row],[Data]],"aaaa-mm")</f>
        <v>2024-05</v>
      </c>
    </row>
    <row r="461" spans="1:11">
      <c r="A461" s="1">
        <v>45431</v>
      </c>
      <c r="B461" t="s">
        <v>69</v>
      </c>
      <c r="C461" t="s">
        <v>7</v>
      </c>
      <c r="D461" t="s">
        <v>65</v>
      </c>
      <c r="E461">
        <v>6</v>
      </c>
      <c r="F461">
        <v>470.78</v>
      </c>
      <c r="G461" t="s">
        <v>14</v>
      </c>
      <c r="H461" t="s">
        <v>63</v>
      </c>
      <c r="I461">
        <v>2824.68</v>
      </c>
      <c r="J461">
        <f>Tabela1[[#This Row],[Valor Total]]/Tabela1[[#This Row],[Quantidade]]</f>
        <v>470.78</v>
      </c>
      <c r="K461" t="str">
        <f>TEXT(Tabela1[[#This Row],[Data]],"aaaa-mm")</f>
        <v>2024-05</v>
      </c>
    </row>
    <row r="462" spans="1:11">
      <c r="A462" s="1">
        <v>45432</v>
      </c>
      <c r="B462" t="s">
        <v>61</v>
      </c>
      <c r="C462" t="s">
        <v>6</v>
      </c>
      <c r="D462" t="s">
        <v>65</v>
      </c>
      <c r="E462">
        <v>9</v>
      </c>
      <c r="F462">
        <v>195.49</v>
      </c>
      <c r="G462" t="s">
        <v>15</v>
      </c>
      <c r="H462" t="s">
        <v>67</v>
      </c>
      <c r="I462">
        <v>1759.41</v>
      </c>
      <c r="J462">
        <f>Tabela1[[#This Row],[Valor Total]]/Tabela1[[#This Row],[Quantidade]]</f>
        <v>195.49</v>
      </c>
      <c r="K462" t="str">
        <f>TEXT(Tabela1[[#This Row],[Data]],"aaaa-mm")</f>
        <v>2024-05</v>
      </c>
    </row>
    <row r="463" spans="1:11">
      <c r="A463" s="1">
        <v>45433</v>
      </c>
      <c r="B463" t="s">
        <v>74</v>
      </c>
      <c r="C463" t="s">
        <v>4</v>
      </c>
      <c r="D463" t="s">
        <v>66</v>
      </c>
      <c r="E463">
        <v>8</v>
      </c>
      <c r="F463">
        <v>62.66</v>
      </c>
      <c r="G463" t="s">
        <v>11</v>
      </c>
      <c r="H463" t="s">
        <v>71</v>
      </c>
      <c r="I463">
        <v>501.28</v>
      </c>
      <c r="J463">
        <f>Tabela1[[#This Row],[Valor Total]]/Tabela1[[#This Row],[Quantidade]]</f>
        <v>62.66</v>
      </c>
      <c r="K463" t="str">
        <f>TEXT(Tabela1[[#This Row],[Data]],"aaaa-mm")</f>
        <v>2024-05</v>
      </c>
    </row>
    <row r="464" spans="1:11">
      <c r="A464" s="1">
        <v>45434</v>
      </c>
      <c r="B464" t="s">
        <v>69</v>
      </c>
      <c r="C464" t="s">
        <v>4</v>
      </c>
      <c r="D464" t="s">
        <v>65</v>
      </c>
      <c r="E464">
        <v>9</v>
      </c>
      <c r="F464">
        <v>491.89</v>
      </c>
      <c r="G464" t="s">
        <v>11</v>
      </c>
      <c r="H464" t="s">
        <v>63</v>
      </c>
      <c r="I464">
        <v>4427.01</v>
      </c>
      <c r="J464">
        <f>Tabela1[[#This Row],[Valor Total]]/Tabela1[[#This Row],[Quantidade]]</f>
        <v>491.89000000000004</v>
      </c>
      <c r="K464" t="str">
        <f>TEXT(Tabela1[[#This Row],[Data]],"aaaa-mm")</f>
        <v>2024-05</v>
      </c>
    </row>
    <row r="465" spans="1:11">
      <c r="A465" s="1">
        <v>45435</v>
      </c>
      <c r="B465" t="s">
        <v>69</v>
      </c>
      <c r="C465" t="s">
        <v>6</v>
      </c>
      <c r="D465" t="s">
        <v>70</v>
      </c>
      <c r="E465">
        <v>3</v>
      </c>
      <c r="F465">
        <v>39.61</v>
      </c>
      <c r="G465" t="s">
        <v>11</v>
      </c>
      <c r="H465" t="s">
        <v>67</v>
      </c>
      <c r="I465">
        <v>118.83</v>
      </c>
      <c r="J465">
        <f>Tabela1[[#This Row],[Valor Total]]/Tabela1[[#This Row],[Quantidade]]</f>
        <v>39.61</v>
      </c>
      <c r="K465" t="str">
        <f>TEXT(Tabela1[[#This Row],[Data]],"aaaa-mm")</f>
        <v>2024-05</v>
      </c>
    </row>
    <row r="466" spans="1:11">
      <c r="A466" s="1">
        <v>45436</v>
      </c>
      <c r="B466" t="s">
        <v>74</v>
      </c>
      <c r="C466" t="s">
        <v>4</v>
      </c>
      <c r="D466" t="s">
        <v>73</v>
      </c>
      <c r="E466">
        <v>3</v>
      </c>
      <c r="F466">
        <v>355.05</v>
      </c>
      <c r="G466" t="s">
        <v>13</v>
      </c>
      <c r="H466" t="s">
        <v>67</v>
      </c>
      <c r="I466">
        <v>1065.1500000000001</v>
      </c>
      <c r="J466">
        <f>Tabela1[[#This Row],[Valor Total]]/Tabela1[[#This Row],[Quantidade]]</f>
        <v>355.05</v>
      </c>
      <c r="K466" t="str">
        <f>TEXT(Tabela1[[#This Row],[Data]],"aaaa-mm")</f>
        <v>2024-05</v>
      </c>
    </row>
    <row r="467" spans="1:11">
      <c r="A467" s="1">
        <v>45437</v>
      </c>
      <c r="B467" t="s">
        <v>72</v>
      </c>
      <c r="C467" t="s">
        <v>6</v>
      </c>
      <c r="D467" t="s">
        <v>73</v>
      </c>
      <c r="E467">
        <v>1</v>
      </c>
      <c r="F467">
        <v>183.28</v>
      </c>
      <c r="G467" t="s">
        <v>14</v>
      </c>
      <c r="H467" t="s">
        <v>67</v>
      </c>
      <c r="I467">
        <v>183.28</v>
      </c>
      <c r="J467">
        <f>Tabela1[[#This Row],[Valor Total]]/Tabela1[[#This Row],[Quantidade]]</f>
        <v>183.28</v>
      </c>
      <c r="K467" t="str">
        <f>TEXT(Tabela1[[#This Row],[Data]],"aaaa-mm")</f>
        <v>2024-05</v>
      </c>
    </row>
    <row r="468" spans="1:11">
      <c r="A468" s="1">
        <v>45438</v>
      </c>
      <c r="B468" t="s">
        <v>74</v>
      </c>
      <c r="C468" t="s">
        <v>6</v>
      </c>
      <c r="D468" t="s">
        <v>73</v>
      </c>
      <c r="E468">
        <v>8</v>
      </c>
      <c r="F468">
        <v>244.72</v>
      </c>
      <c r="G468" t="s">
        <v>13</v>
      </c>
      <c r="H468" t="s">
        <v>71</v>
      </c>
      <c r="I468">
        <v>1957.76</v>
      </c>
      <c r="J468">
        <f>Tabela1[[#This Row],[Valor Total]]/Tabela1[[#This Row],[Quantidade]]</f>
        <v>244.72</v>
      </c>
      <c r="K468" t="str">
        <f>TEXT(Tabela1[[#This Row],[Data]],"aaaa-mm")</f>
        <v>2024-05</v>
      </c>
    </row>
    <row r="469" spans="1:11">
      <c r="A469" s="1">
        <v>45439</v>
      </c>
      <c r="B469" t="s">
        <v>61</v>
      </c>
      <c r="C469" t="s">
        <v>8</v>
      </c>
      <c r="D469" t="s">
        <v>66</v>
      </c>
      <c r="E469">
        <v>5</v>
      </c>
      <c r="F469">
        <v>43.09</v>
      </c>
      <c r="G469" t="s">
        <v>14</v>
      </c>
      <c r="H469" t="s">
        <v>71</v>
      </c>
      <c r="I469">
        <v>215.45</v>
      </c>
      <c r="J469">
        <f>Tabela1[[#This Row],[Valor Total]]/Tabela1[[#This Row],[Quantidade]]</f>
        <v>43.089999999999996</v>
      </c>
      <c r="K469" t="str">
        <f>TEXT(Tabela1[[#This Row],[Data]],"aaaa-mm")</f>
        <v>2024-05</v>
      </c>
    </row>
    <row r="470" spans="1:11">
      <c r="A470" s="1">
        <v>45441</v>
      </c>
      <c r="B470" t="s">
        <v>74</v>
      </c>
      <c r="C470" t="s">
        <v>4</v>
      </c>
      <c r="D470" t="s">
        <v>62</v>
      </c>
      <c r="E470">
        <v>4</v>
      </c>
      <c r="F470">
        <v>474.02</v>
      </c>
      <c r="G470" t="s">
        <v>14</v>
      </c>
      <c r="H470" t="s">
        <v>71</v>
      </c>
      <c r="I470">
        <v>1896.08</v>
      </c>
      <c r="J470">
        <f>Tabela1[[#This Row],[Valor Total]]/Tabela1[[#This Row],[Quantidade]]</f>
        <v>474.02</v>
      </c>
      <c r="K470" t="str">
        <f>TEXT(Tabela1[[#This Row],[Data]],"aaaa-mm")</f>
        <v>2024-05</v>
      </c>
    </row>
    <row r="471" spans="1:11">
      <c r="A471" s="1">
        <v>45442</v>
      </c>
      <c r="B471" t="s">
        <v>69</v>
      </c>
      <c r="C471" t="s">
        <v>7</v>
      </c>
      <c r="D471" t="s">
        <v>66</v>
      </c>
      <c r="E471">
        <v>1</v>
      </c>
      <c r="F471">
        <v>231.19</v>
      </c>
      <c r="G471" t="s">
        <v>11</v>
      </c>
      <c r="H471" t="s">
        <v>64</v>
      </c>
      <c r="I471">
        <v>231.19</v>
      </c>
      <c r="J471">
        <f>Tabela1[[#This Row],[Valor Total]]/Tabela1[[#This Row],[Quantidade]]</f>
        <v>231.19</v>
      </c>
      <c r="K471" t="str">
        <f>TEXT(Tabela1[[#This Row],[Data]],"aaaa-mm")</f>
        <v>2024-05</v>
      </c>
    </row>
    <row r="472" spans="1:11">
      <c r="A472" s="1">
        <v>45443</v>
      </c>
      <c r="B472" t="s">
        <v>61</v>
      </c>
      <c r="C472" t="s">
        <v>7</v>
      </c>
      <c r="D472" t="s">
        <v>62</v>
      </c>
      <c r="E472">
        <v>5</v>
      </c>
      <c r="F472">
        <v>411.84</v>
      </c>
      <c r="G472" t="s">
        <v>15</v>
      </c>
      <c r="H472" t="s">
        <v>63</v>
      </c>
      <c r="I472">
        <v>2059.1999999999998</v>
      </c>
      <c r="J472">
        <f>Tabela1[[#This Row],[Valor Total]]/Tabela1[[#This Row],[Quantidade]]</f>
        <v>411.84</v>
      </c>
      <c r="K472" t="str">
        <f>TEXT(Tabela1[[#This Row],[Data]],"aaaa-mm")</f>
        <v>2024-05</v>
      </c>
    </row>
    <row r="473" spans="1:11">
      <c r="A473" s="1">
        <v>45444</v>
      </c>
      <c r="B473" t="s">
        <v>61</v>
      </c>
      <c r="C473" t="s">
        <v>6</v>
      </c>
      <c r="D473" t="s">
        <v>73</v>
      </c>
      <c r="E473">
        <v>6</v>
      </c>
      <c r="F473">
        <v>218.06</v>
      </c>
      <c r="G473" t="s">
        <v>12</v>
      </c>
      <c r="H473" t="s">
        <v>64</v>
      </c>
      <c r="I473">
        <v>1308.3599999999999</v>
      </c>
      <c r="J473">
        <f>Tabela1[[#This Row],[Valor Total]]/Tabela1[[#This Row],[Quantidade]]</f>
        <v>218.05999999999997</v>
      </c>
      <c r="K473" t="str">
        <f>TEXT(Tabela1[[#This Row],[Data]],"aaaa-mm")</f>
        <v>2024-06</v>
      </c>
    </row>
    <row r="474" spans="1:11">
      <c r="A474" s="1">
        <v>45445</v>
      </c>
      <c r="B474" t="s">
        <v>61</v>
      </c>
      <c r="C474" t="s">
        <v>6</v>
      </c>
      <c r="D474" t="s">
        <v>70</v>
      </c>
      <c r="E474">
        <v>2</v>
      </c>
      <c r="F474">
        <v>415.84</v>
      </c>
      <c r="G474" t="s">
        <v>15</v>
      </c>
      <c r="H474" t="s">
        <v>71</v>
      </c>
      <c r="I474">
        <v>831.68</v>
      </c>
      <c r="J474">
        <f>Tabela1[[#This Row],[Valor Total]]/Tabela1[[#This Row],[Quantidade]]</f>
        <v>415.84</v>
      </c>
      <c r="K474" t="str">
        <f>TEXT(Tabela1[[#This Row],[Data]],"aaaa-mm")</f>
        <v>2024-06</v>
      </c>
    </row>
    <row r="475" spans="1:11">
      <c r="A475" s="1">
        <v>45446</v>
      </c>
      <c r="B475" t="s">
        <v>74</v>
      </c>
      <c r="C475" t="s">
        <v>6</v>
      </c>
      <c r="D475" t="s">
        <v>65</v>
      </c>
      <c r="E475">
        <v>8</v>
      </c>
      <c r="F475">
        <v>85.15</v>
      </c>
      <c r="G475" t="s">
        <v>14</v>
      </c>
      <c r="H475" t="s">
        <v>63</v>
      </c>
      <c r="I475">
        <v>681.2</v>
      </c>
      <c r="J475">
        <f>Tabela1[[#This Row],[Valor Total]]/Tabela1[[#This Row],[Quantidade]]</f>
        <v>85.15</v>
      </c>
      <c r="K475" t="str">
        <f>TEXT(Tabela1[[#This Row],[Data]],"aaaa-mm")</f>
        <v>2024-06</v>
      </c>
    </row>
    <row r="476" spans="1:11">
      <c r="A476" s="1">
        <v>45447</v>
      </c>
      <c r="B476" t="s">
        <v>68</v>
      </c>
      <c r="C476" t="s">
        <v>6</v>
      </c>
      <c r="D476" t="s">
        <v>66</v>
      </c>
      <c r="E476">
        <v>2</v>
      </c>
      <c r="F476">
        <v>34.47</v>
      </c>
      <c r="G476" t="s">
        <v>14</v>
      </c>
      <c r="H476" t="s">
        <v>64</v>
      </c>
      <c r="I476">
        <v>68.94</v>
      </c>
      <c r="J476">
        <f>Tabela1[[#This Row],[Valor Total]]/Tabela1[[#This Row],[Quantidade]]</f>
        <v>34.47</v>
      </c>
      <c r="K476" t="str">
        <f>TEXT(Tabela1[[#This Row],[Data]],"aaaa-mm")</f>
        <v>2024-06</v>
      </c>
    </row>
    <row r="477" spans="1:11">
      <c r="A477" s="1">
        <v>45448</v>
      </c>
      <c r="B477" t="s">
        <v>68</v>
      </c>
      <c r="C477" t="s">
        <v>6</v>
      </c>
      <c r="D477" t="s">
        <v>62</v>
      </c>
      <c r="E477">
        <v>3</v>
      </c>
      <c r="F477">
        <v>275.95</v>
      </c>
      <c r="G477" t="s">
        <v>12</v>
      </c>
      <c r="H477" t="s">
        <v>71</v>
      </c>
      <c r="I477">
        <v>827.84999999999991</v>
      </c>
      <c r="J477">
        <f>Tabela1[[#This Row],[Valor Total]]/Tabela1[[#This Row],[Quantidade]]</f>
        <v>275.95</v>
      </c>
      <c r="K477" t="str">
        <f>TEXT(Tabela1[[#This Row],[Data]],"aaaa-mm")</f>
        <v>2024-06</v>
      </c>
    </row>
    <row r="478" spans="1:11">
      <c r="A478" s="1">
        <v>45449</v>
      </c>
      <c r="B478" t="s">
        <v>69</v>
      </c>
      <c r="C478" t="s">
        <v>6</v>
      </c>
      <c r="D478" t="s">
        <v>73</v>
      </c>
      <c r="E478">
        <v>6</v>
      </c>
      <c r="F478">
        <v>187.07</v>
      </c>
      <c r="G478" t="s">
        <v>12</v>
      </c>
      <c r="H478" t="s">
        <v>64</v>
      </c>
      <c r="I478">
        <v>1122.42</v>
      </c>
      <c r="J478">
        <f>Tabela1[[#This Row],[Valor Total]]/Tabela1[[#This Row],[Quantidade]]</f>
        <v>187.07000000000002</v>
      </c>
      <c r="K478" t="str">
        <f>TEXT(Tabela1[[#This Row],[Data]],"aaaa-mm")</f>
        <v>2024-06</v>
      </c>
    </row>
    <row r="479" spans="1:11">
      <c r="A479" s="1">
        <v>45450</v>
      </c>
      <c r="B479" t="s">
        <v>69</v>
      </c>
      <c r="C479" t="s">
        <v>8</v>
      </c>
      <c r="D479" t="s">
        <v>62</v>
      </c>
      <c r="E479">
        <v>7</v>
      </c>
      <c r="F479">
        <v>282.47000000000003</v>
      </c>
      <c r="G479" t="s">
        <v>11</v>
      </c>
      <c r="H479" t="s">
        <v>67</v>
      </c>
      <c r="I479">
        <v>1977.29</v>
      </c>
      <c r="J479">
        <f>Tabela1[[#This Row],[Valor Total]]/Tabela1[[#This Row],[Quantidade]]</f>
        <v>282.46999999999997</v>
      </c>
      <c r="K479" t="str">
        <f>TEXT(Tabela1[[#This Row],[Data]],"aaaa-mm")</f>
        <v>2024-06</v>
      </c>
    </row>
    <row r="480" spans="1:11">
      <c r="A480" s="1">
        <v>45452</v>
      </c>
      <c r="B480" t="s">
        <v>74</v>
      </c>
      <c r="C480" t="s">
        <v>8</v>
      </c>
      <c r="D480" t="s">
        <v>70</v>
      </c>
      <c r="E480">
        <v>6</v>
      </c>
      <c r="F480">
        <v>69.680000000000007</v>
      </c>
      <c r="G480" t="s">
        <v>11</v>
      </c>
      <c r="H480" t="s">
        <v>67</v>
      </c>
      <c r="I480">
        <v>418.08</v>
      </c>
      <c r="J480">
        <f>Tabela1[[#This Row],[Valor Total]]/Tabela1[[#This Row],[Quantidade]]</f>
        <v>69.679999999999993</v>
      </c>
      <c r="K480" t="str">
        <f>TEXT(Tabela1[[#This Row],[Data]],"aaaa-mm")</f>
        <v>2024-06</v>
      </c>
    </row>
    <row r="481" spans="1:11">
      <c r="A481" s="1">
        <v>45453</v>
      </c>
      <c r="B481" t="s">
        <v>69</v>
      </c>
      <c r="C481" t="s">
        <v>7</v>
      </c>
      <c r="D481" t="s">
        <v>66</v>
      </c>
      <c r="E481">
        <v>5</v>
      </c>
      <c r="F481">
        <v>437.07</v>
      </c>
      <c r="G481" t="s">
        <v>12</v>
      </c>
      <c r="H481" t="s">
        <v>63</v>
      </c>
      <c r="I481">
        <v>2185.35</v>
      </c>
      <c r="J481">
        <f>Tabela1[[#This Row],[Valor Total]]/Tabela1[[#This Row],[Quantidade]]</f>
        <v>437.07</v>
      </c>
      <c r="K481" t="str">
        <f>TEXT(Tabela1[[#This Row],[Data]],"aaaa-mm")</f>
        <v>2024-06</v>
      </c>
    </row>
    <row r="482" spans="1:11">
      <c r="A482" s="1">
        <v>45454</v>
      </c>
      <c r="B482" t="s">
        <v>68</v>
      </c>
      <c r="C482" t="s">
        <v>5</v>
      </c>
      <c r="D482" t="s">
        <v>70</v>
      </c>
      <c r="E482">
        <v>2</v>
      </c>
      <c r="F482">
        <v>148.13</v>
      </c>
      <c r="G482" t="s">
        <v>14</v>
      </c>
      <c r="H482" t="s">
        <v>63</v>
      </c>
      <c r="I482">
        <v>296.26</v>
      </c>
      <c r="J482">
        <f>Tabela1[[#This Row],[Valor Total]]/Tabela1[[#This Row],[Quantidade]]</f>
        <v>148.13</v>
      </c>
      <c r="K482" t="str">
        <f>TEXT(Tabela1[[#This Row],[Data]],"aaaa-mm")</f>
        <v>2024-06</v>
      </c>
    </row>
    <row r="483" spans="1:11">
      <c r="A483" s="1">
        <v>45455</v>
      </c>
      <c r="B483" t="s">
        <v>74</v>
      </c>
      <c r="C483" t="s">
        <v>8</v>
      </c>
      <c r="D483" t="s">
        <v>65</v>
      </c>
      <c r="E483">
        <v>1</v>
      </c>
      <c r="F483">
        <v>117.02</v>
      </c>
      <c r="G483" t="s">
        <v>12</v>
      </c>
      <c r="H483" t="s">
        <v>67</v>
      </c>
      <c r="I483">
        <v>117.02</v>
      </c>
      <c r="J483">
        <f>Tabela1[[#This Row],[Valor Total]]/Tabela1[[#This Row],[Quantidade]]</f>
        <v>117.02</v>
      </c>
      <c r="K483" t="str">
        <f>TEXT(Tabela1[[#This Row],[Data]],"aaaa-mm")</f>
        <v>2024-06</v>
      </c>
    </row>
    <row r="484" spans="1:11">
      <c r="A484" s="1">
        <v>45456</v>
      </c>
      <c r="B484" t="s">
        <v>74</v>
      </c>
      <c r="C484" t="s">
        <v>7</v>
      </c>
      <c r="D484" t="s">
        <v>70</v>
      </c>
      <c r="E484">
        <v>9</v>
      </c>
      <c r="F484">
        <v>394.96</v>
      </c>
      <c r="G484" t="s">
        <v>14</v>
      </c>
      <c r="H484" t="s">
        <v>71</v>
      </c>
      <c r="I484">
        <v>3554.64</v>
      </c>
      <c r="J484">
        <f>Tabela1[[#This Row],[Valor Total]]/Tabela1[[#This Row],[Quantidade]]</f>
        <v>394.96</v>
      </c>
      <c r="K484" t="str">
        <f>TEXT(Tabela1[[#This Row],[Data]],"aaaa-mm")</f>
        <v>2024-06</v>
      </c>
    </row>
    <row r="485" spans="1:11">
      <c r="A485" s="1">
        <v>45457</v>
      </c>
      <c r="B485" t="s">
        <v>61</v>
      </c>
      <c r="C485" t="s">
        <v>5</v>
      </c>
      <c r="D485" t="s">
        <v>65</v>
      </c>
      <c r="E485">
        <v>5</v>
      </c>
      <c r="F485">
        <v>406.87</v>
      </c>
      <c r="G485" t="s">
        <v>12</v>
      </c>
      <c r="H485" t="s">
        <v>64</v>
      </c>
      <c r="I485">
        <v>2034.35</v>
      </c>
      <c r="J485">
        <f>Tabela1[[#This Row],[Valor Total]]/Tabela1[[#This Row],[Quantidade]]</f>
        <v>406.87</v>
      </c>
      <c r="K485" t="str">
        <f>TEXT(Tabela1[[#This Row],[Data]],"aaaa-mm")</f>
        <v>2024-06</v>
      </c>
    </row>
    <row r="486" spans="1:11">
      <c r="A486" s="1">
        <v>45458</v>
      </c>
      <c r="B486" t="s">
        <v>61</v>
      </c>
      <c r="C486" t="s">
        <v>5</v>
      </c>
      <c r="D486" t="s">
        <v>66</v>
      </c>
      <c r="E486">
        <v>5</v>
      </c>
      <c r="F486">
        <v>481.92</v>
      </c>
      <c r="G486" t="s">
        <v>13</v>
      </c>
      <c r="H486" t="s">
        <v>71</v>
      </c>
      <c r="I486">
        <v>2409.6</v>
      </c>
      <c r="J486">
        <f>Tabela1[[#This Row],[Valor Total]]/Tabela1[[#This Row],[Quantidade]]</f>
        <v>481.91999999999996</v>
      </c>
      <c r="K486" t="str">
        <f>TEXT(Tabela1[[#This Row],[Data]],"aaaa-mm")</f>
        <v>2024-06</v>
      </c>
    </row>
    <row r="487" spans="1:11">
      <c r="A487" s="1">
        <v>45459</v>
      </c>
      <c r="B487" t="s">
        <v>61</v>
      </c>
      <c r="C487" t="s">
        <v>7</v>
      </c>
      <c r="D487" t="s">
        <v>70</v>
      </c>
      <c r="E487">
        <v>6</v>
      </c>
      <c r="F487">
        <v>270.33999999999997</v>
      </c>
      <c r="G487" t="s">
        <v>12</v>
      </c>
      <c r="H487" t="s">
        <v>71</v>
      </c>
      <c r="I487">
        <v>1622.04</v>
      </c>
      <c r="J487">
        <f>Tabela1[[#This Row],[Valor Total]]/Tabela1[[#This Row],[Quantidade]]</f>
        <v>270.33999999999997</v>
      </c>
      <c r="K487" t="str">
        <f>TEXT(Tabela1[[#This Row],[Data]],"aaaa-mm")</f>
        <v>2024-06</v>
      </c>
    </row>
    <row r="488" spans="1:11">
      <c r="A488" s="1">
        <v>45460</v>
      </c>
      <c r="B488" t="s">
        <v>74</v>
      </c>
      <c r="C488" t="s">
        <v>7</v>
      </c>
      <c r="D488" t="s">
        <v>65</v>
      </c>
      <c r="E488">
        <v>4</v>
      </c>
      <c r="F488">
        <v>130.94</v>
      </c>
      <c r="G488" t="s">
        <v>13</v>
      </c>
      <c r="H488" t="s">
        <v>67</v>
      </c>
      <c r="I488">
        <v>523.76</v>
      </c>
      <c r="J488">
        <f>Tabela1[[#This Row],[Valor Total]]/Tabela1[[#This Row],[Quantidade]]</f>
        <v>130.94</v>
      </c>
      <c r="K488" t="str">
        <f>TEXT(Tabela1[[#This Row],[Data]],"aaaa-mm")</f>
        <v>2024-06</v>
      </c>
    </row>
    <row r="489" spans="1:11">
      <c r="A489" s="1">
        <v>45461</v>
      </c>
      <c r="B489" t="s">
        <v>74</v>
      </c>
      <c r="C489" t="s">
        <v>7</v>
      </c>
      <c r="D489" t="s">
        <v>65</v>
      </c>
      <c r="E489">
        <v>6</v>
      </c>
      <c r="F489">
        <v>213.7</v>
      </c>
      <c r="G489" t="s">
        <v>11</v>
      </c>
      <c r="H489" t="s">
        <v>67</v>
      </c>
      <c r="I489">
        <v>1282.2</v>
      </c>
      <c r="J489">
        <f>Tabela1[[#This Row],[Valor Total]]/Tabela1[[#This Row],[Quantidade]]</f>
        <v>213.70000000000002</v>
      </c>
      <c r="K489" t="str">
        <f>TEXT(Tabela1[[#This Row],[Data]],"aaaa-mm")</f>
        <v>2024-06</v>
      </c>
    </row>
    <row r="490" spans="1:11">
      <c r="A490" s="1">
        <v>45462</v>
      </c>
      <c r="B490" t="s">
        <v>68</v>
      </c>
      <c r="C490" t="s">
        <v>8</v>
      </c>
      <c r="D490" t="s">
        <v>65</v>
      </c>
      <c r="E490">
        <v>5</v>
      </c>
      <c r="F490">
        <v>346.46</v>
      </c>
      <c r="G490" t="s">
        <v>12</v>
      </c>
      <c r="H490" t="s">
        <v>71</v>
      </c>
      <c r="I490">
        <v>1732.3</v>
      </c>
      <c r="J490">
        <f>Tabela1[[#This Row],[Valor Total]]/Tabela1[[#This Row],[Quantidade]]</f>
        <v>346.46</v>
      </c>
      <c r="K490" t="str">
        <f>TEXT(Tabela1[[#This Row],[Data]],"aaaa-mm")</f>
        <v>2024-06</v>
      </c>
    </row>
    <row r="491" spans="1:11">
      <c r="A491" s="1">
        <v>45464</v>
      </c>
      <c r="B491" t="s">
        <v>74</v>
      </c>
      <c r="C491" t="s">
        <v>7</v>
      </c>
      <c r="D491" t="s">
        <v>66</v>
      </c>
      <c r="E491">
        <v>5</v>
      </c>
      <c r="F491">
        <v>133.88</v>
      </c>
      <c r="G491" t="s">
        <v>13</v>
      </c>
      <c r="H491" t="s">
        <v>71</v>
      </c>
      <c r="I491">
        <v>669.4</v>
      </c>
      <c r="J491">
        <f>Tabela1[[#This Row],[Valor Total]]/Tabela1[[#This Row],[Quantidade]]</f>
        <v>133.88</v>
      </c>
      <c r="K491" t="str">
        <f>TEXT(Tabela1[[#This Row],[Data]],"aaaa-mm")</f>
        <v>2024-06</v>
      </c>
    </row>
    <row r="492" spans="1:11">
      <c r="A492" s="1">
        <v>45465</v>
      </c>
      <c r="B492" t="s">
        <v>69</v>
      </c>
      <c r="C492" t="s">
        <v>4</v>
      </c>
      <c r="D492" t="s">
        <v>66</v>
      </c>
      <c r="E492">
        <v>8</v>
      </c>
      <c r="F492">
        <v>448.61</v>
      </c>
      <c r="G492" t="s">
        <v>14</v>
      </c>
      <c r="H492" t="s">
        <v>63</v>
      </c>
      <c r="I492">
        <v>3588.88</v>
      </c>
      <c r="J492">
        <f>Tabela1[[#This Row],[Valor Total]]/Tabela1[[#This Row],[Quantidade]]</f>
        <v>448.61</v>
      </c>
      <c r="K492" t="str">
        <f>TEXT(Tabela1[[#This Row],[Data]],"aaaa-mm")</f>
        <v>2024-06</v>
      </c>
    </row>
    <row r="493" spans="1:11">
      <c r="A493" s="1">
        <v>45466</v>
      </c>
      <c r="B493" t="s">
        <v>61</v>
      </c>
      <c r="C493" t="s">
        <v>6</v>
      </c>
      <c r="D493" t="s">
        <v>70</v>
      </c>
      <c r="E493">
        <v>7</v>
      </c>
      <c r="F493">
        <v>276.66000000000003</v>
      </c>
      <c r="G493" t="s">
        <v>13</v>
      </c>
      <c r="H493" t="s">
        <v>64</v>
      </c>
      <c r="I493">
        <v>1936.62</v>
      </c>
      <c r="J493">
        <f>Tabela1[[#This Row],[Valor Total]]/Tabela1[[#This Row],[Quantidade]]</f>
        <v>276.65999999999997</v>
      </c>
      <c r="K493" t="str">
        <f>TEXT(Tabela1[[#This Row],[Data]],"aaaa-mm")</f>
        <v>2024-06</v>
      </c>
    </row>
    <row r="494" spans="1:11">
      <c r="A494" s="1">
        <v>45467</v>
      </c>
      <c r="B494" t="s">
        <v>69</v>
      </c>
      <c r="C494" t="s">
        <v>4</v>
      </c>
      <c r="D494" t="s">
        <v>66</v>
      </c>
      <c r="E494">
        <v>5</v>
      </c>
      <c r="F494">
        <v>427.94</v>
      </c>
      <c r="G494" t="s">
        <v>14</v>
      </c>
      <c r="H494" t="s">
        <v>67</v>
      </c>
      <c r="I494">
        <v>2139.6999999999998</v>
      </c>
      <c r="J494">
        <f>Tabela1[[#This Row],[Valor Total]]/Tabela1[[#This Row],[Quantidade]]</f>
        <v>427.93999999999994</v>
      </c>
      <c r="K494" t="str">
        <f>TEXT(Tabela1[[#This Row],[Data]],"aaaa-mm")</f>
        <v>2024-06</v>
      </c>
    </row>
    <row r="495" spans="1:11">
      <c r="A495" s="1">
        <v>45468</v>
      </c>
      <c r="B495" t="s">
        <v>69</v>
      </c>
      <c r="C495" t="s">
        <v>6</v>
      </c>
      <c r="D495" t="s">
        <v>66</v>
      </c>
      <c r="E495">
        <v>1</v>
      </c>
      <c r="F495">
        <v>257.04000000000002</v>
      </c>
      <c r="G495" t="s">
        <v>12</v>
      </c>
      <c r="H495" t="s">
        <v>67</v>
      </c>
      <c r="I495">
        <v>257.04000000000002</v>
      </c>
      <c r="J495">
        <f>Tabela1[[#This Row],[Valor Total]]/Tabela1[[#This Row],[Quantidade]]</f>
        <v>257.04000000000002</v>
      </c>
      <c r="K495" t="str">
        <f>TEXT(Tabela1[[#This Row],[Data]],"aaaa-mm")</f>
        <v>2024-06</v>
      </c>
    </row>
    <row r="496" spans="1:11">
      <c r="A496" s="1">
        <v>45469</v>
      </c>
      <c r="B496" t="s">
        <v>69</v>
      </c>
      <c r="C496" t="s">
        <v>6</v>
      </c>
      <c r="D496" t="s">
        <v>65</v>
      </c>
      <c r="E496">
        <v>8</v>
      </c>
      <c r="F496">
        <v>65.599999999999994</v>
      </c>
      <c r="G496" t="s">
        <v>11</v>
      </c>
      <c r="H496" t="s">
        <v>71</v>
      </c>
      <c r="I496">
        <v>524.79999999999995</v>
      </c>
      <c r="J496">
        <f>Tabela1[[#This Row],[Valor Total]]/Tabela1[[#This Row],[Quantidade]]</f>
        <v>65.599999999999994</v>
      </c>
      <c r="K496" t="str">
        <f>TEXT(Tabela1[[#This Row],[Data]],"aaaa-mm")</f>
        <v>2024-06</v>
      </c>
    </row>
    <row r="497" spans="1:11">
      <c r="A497" s="1">
        <v>45470</v>
      </c>
      <c r="B497" t="s">
        <v>72</v>
      </c>
      <c r="C497" t="s">
        <v>8</v>
      </c>
      <c r="D497" t="s">
        <v>66</v>
      </c>
      <c r="E497">
        <v>4</v>
      </c>
      <c r="F497">
        <v>85.77</v>
      </c>
      <c r="G497" t="s">
        <v>15</v>
      </c>
      <c r="H497" t="s">
        <v>63</v>
      </c>
      <c r="I497">
        <v>343.08</v>
      </c>
      <c r="J497">
        <f>Tabela1[[#This Row],[Valor Total]]/Tabela1[[#This Row],[Quantidade]]</f>
        <v>85.77</v>
      </c>
      <c r="K497" t="str">
        <f>TEXT(Tabela1[[#This Row],[Data]],"aaaa-mm")</f>
        <v>2024-06</v>
      </c>
    </row>
    <row r="498" spans="1:11">
      <c r="A498" s="1">
        <v>45471</v>
      </c>
      <c r="B498" t="s">
        <v>61</v>
      </c>
      <c r="C498" t="s">
        <v>8</v>
      </c>
      <c r="D498" t="s">
        <v>70</v>
      </c>
      <c r="E498">
        <v>2</v>
      </c>
      <c r="F498">
        <v>406.44</v>
      </c>
      <c r="G498" t="s">
        <v>12</v>
      </c>
      <c r="H498" t="s">
        <v>67</v>
      </c>
      <c r="I498">
        <v>812.88</v>
      </c>
      <c r="J498">
        <f>Tabela1[[#This Row],[Valor Total]]/Tabela1[[#This Row],[Quantidade]]</f>
        <v>406.44</v>
      </c>
      <c r="K498" t="str">
        <f>TEXT(Tabela1[[#This Row],[Data]],"aaaa-mm")</f>
        <v>2024-06</v>
      </c>
    </row>
    <row r="499" spans="1:11">
      <c r="A499" s="1">
        <v>45472</v>
      </c>
      <c r="B499" t="s">
        <v>68</v>
      </c>
      <c r="C499" t="s">
        <v>7</v>
      </c>
      <c r="D499" t="s">
        <v>73</v>
      </c>
      <c r="E499">
        <v>1</v>
      </c>
      <c r="F499">
        <v>391.48</v>
      </c>
      <c r="G499" t="s">
        <v>14</v>
      </c>
      <c r="H499" t="s">
        <v>63</v>
      </c>
      <c r="I499">
        <v>391.48</v>
      </c>
      <c r="J499">
        <f>Tabela1[[#This Row],[Valor Total]]/Tabela1[[#This Row],[Quantidade]]</f>
        <v>391.48</v>
      </c>
      <c r="K499" t="str">
        <f>TEXT(Tabela1[[#This Row],[Data]],"aaaa-mm")</f>
        <v>2024-06</v>
      </c>
    </row>
    <row r="500" spans="1:11">
      <c r="A500" s="1">
        <v>45473</v>
      </c>
      <c r="B500" t="s">
        <v>61</v>
      </c>
      <c r="C500" t="s">
        <v>6</v>
      </c>
      <c r="D500" t="s">
        <v>66</v>
      </c>
      <c r="E500">
        <v>3</v>
      </c>
      <c r="F500">
        <v>455.97</v>
      </c>
      <c r="G500" t="s">
        <v>13</v>
      </c>
      <c r="H500" t="s">
        <v>63</v>
      </c>
      <c r="I500">
        <v>1367.91</v>
      </c>
      <c r="J500">
        <f>Tabela1[[#This Row],[Valor Total]]/Tabela1[[#This Row],[Quantidade]]</f>
        <v>455.97</v>
      </c>
      <c r="K500" t="str">
        <f>TEXT(Tabela1[[#This Row],[Data]],"aaaa-mm")</f>
        <v>2024-06</v>
      </c>
    </row>
    <row r="501" spans="1:11">
      <c r="A501" s="1">
        <v>45475</v>
      </c>
      <c r="B501" t="s">
        <v>74</v>
      </c>
      <c r="C501" t="s">
        <v>4</v>
      </c>
      <c r="D501" t="s">
        <v>73</v>
      </c>
      <c r="E501">
        <v>6</v>
      </c>
      <c r="F501">
        <v>339.17</v>
      </c>
      <c r="G501" t="s">
        <v>13</v>
      </c>
      <c r="H501" t="s">
        <v>67</v>
      </c>
      <c r="I501">
        <v>2035.02</v>
      </c>
      <c r="J501">
        <f>Tabela1[[#This Row],[Valor Total]]/Tabela1[[#This Row],[Quantidade]]</f>
        <v>339.17</v>
      </c>
      <c r="K501" t="str">
        <f>TEXT(Tabela1[[#This Row],[Data]],"aaaa-mm")</f>
        <v>2024-07</v>
      </c>
    </row>
    <row r="502" spans="1:11">
      <c r="A502" s="1">
        <v>45476</v>
      </c>
      <c r="B502" t="s">
        <v>72</v>
      </c>
      <c r="C502" t="s">
        <v>4</v>
      </c>
      <c r="D502" t="s">
        <v>65</v>
      </c>
      <c r="E502">
        <v>3</v>
      </c>
      <c r="F502">
        <v>401.59</v>
      </c>
      <c r="G502" t="s">
        <v>12</v>
      </c>
      <c r="H502" t="s">
        <v>64</v>
      </c>
      <c r="I502">
        <v>1204.77</v>
      </c>
      <c r="J502">
        <f>Tabela1[[#This Row],[Valor Total]]/Tabela1[[#This Row],[Quantidade]]</f>
        <v>401.59</v>
      </c>
      <c r="K502" t="str">
        <f>TEXT(Tabela1[[#This Row],[Data]],"aaaa-mm")</f>
        <v>2024-07</v>
      </c>
    </row>
    <row r="503" spans="1:11">
      <c r="A503" s="1">
        <v>45477</v>
      </c>
      <c r="B503" t="s">
        <v>68</v>
      </c>
      <c r="C503" t="s">
        <v>5</v>
      </c>
      <c r="D503" t="s">
        <v>70</v>
      </c>
      <c r="E503">
        <v>9</v>
      </c>
      <c r="F503">
        <v>53.47</v>
      </c>
      <c r="G503" t="s">
        <v>14</v>
      </c>
      <c r="H503" t="s">
        <v>63</v>
      </c>
      <c r="I503">
        <v>481.23</v>
      </c>
      <c r="J503">
        <f>Tabela1[[#This Row],[Valor Total]]/Tabela1[[#This Row],[Quantidade]]</f>
        <v>53.47</v>
      </c>
      <c r="K503" t="str">
        <f>TEXT(Tabela1[[#This Row],[Data]],"aaaa-mm")</f>
        <v>2024-07</v>
      </c>
    </row>
    <row r="504" spans="1:11">
      <c r="A504" s="1">
        <v>45478</v>
      </c>
      <c r="B504" t="s">
        <v>72</v>
      </c>
      <c r="C504" t="s">
        <v>4</v>
      </c>
      <c r="D504" t="s">
        <v>65</v>
      </c>
      <c r="E504">
        <v>8</v>
      </c>
      <c r="F504">
        <v>257.55</v>
      </c>
      <c r="G504" t="s">
        <v>11</v>
      </c>
      <c r="H504" t="s">
        <v>63</v>
      </c>
      <c r="I504">
        <v>2060.4</v>
      </c>
      <c r="J504">
        <f>Tabela1[[#This Row],[Valor Total]]/Tabela1[[#This Row],[Quantidade]]</f>
        <v>257.55</v>
      </c>
      <c r="K504" t="str">
        <f>TEXT(Tabela1[[#This Row],[Data]],"aaaa-mm")</f>
        <v>2024-07</v>
      </c>
    </row>
    <row r="505" spans="1:11">
      <c r="A505" s="1">
        <v>45479</v>
      </c>
      <c r="B505" t="s">
        <v>68</v>
      </c>
      <c r="C505" t="s">
        <v>4</v>
      </c>
      <c r="D505" t="s">
        <v>65</v>
      </c>
      <c r="E505">
        <v>2</v>
      </c>
      <c r="F505">
        <v>244.65</v>
      </c>
      <c r="G505" t="s">
        <v>14</v>
      </c>
      <c r="H505" t="s">
        <v>71</v>
      </c>
      <c r="I505">
        <v>489.3</v>
      </c>
      <c r="J505">
        <f>Tabela1[[#This Row],[Valor Total]]/Tabela1[[#This Row],[Quantidade]]</f>
        <v>244.65</v>
      </c>
      <c r="K505" t="str">
        <f>TEXT(Tabela1[[#This Row],[Data]],"aaaa-mm")</f>
        <v>2024-07</v>
      </c>
    </row>
    <row r="506" spans="1:11">
      <c r="A506" s="1">
        <v>45480</v>
      </c>
      <c r="B506" t="s">
        <v>72</v>
      </c>
      <c r="C506" t="s">
        <v>8</v>
      </c>
      <c r="D506" t="s">
        <v>70</v>
      </c>
      <c r="E506">
        <v>2</v>
      </c>
      <c r="F506">
        <v>299.7</v>
      </c>
      <c r="G506" t="s">
        <v>14</v>
      </c>
      <c r="H506" t="s">
        <v>67</v>
      </c>
      <c r="I506">
        <v>599.4</v>
      </c>
      <c r="J506">
        <f>Tabela1[[#This Row],[Valor Total]]/Tabela1[[#This Row],[Quantidade]]</f>
        <v>299.7</v>
      </c>
      <c r="K506" t="str">
        <f>TEXT(Tabela1[[#This Row],[Data]],"aaaa-mm")</f>
        <v>2024-07</v>
      </c>
    </row>
    <row r="507" spans="1:11">
      <c r="A507" s="1">
        <v>45481</v>
      </c>
      <c r="B507" t="s">
        <v>68</v>
      </c>
      <c r="C507" t="s">
        <v>4</v>
      </c>
      <c r="D507" t="s">
        <v>66</v>
      </c>
      <c r="E507">
        <v>3</v>
      </c>
      <c r="F507">
        <v>49.95</v>
      </c>
      <c r="G507" t="s">
        <v>14</v>
      </c>
      <c r="H507" t="s">
        <v>67</v>
      </c>
      <c r="I507">
        <v>149.85</v>
      </c>
      <c r="J507">
        <f>Tabela1[[#This Row],[Valor Total]]/Tabela1[[#This Row],[Quantidade]]</f>
        <v>49.949999999999996</v>
      </c>
      <c r="K507" t="str">
        <f>TEXT(Tabela1[[#This Row],[Data]],"aaaa-mm")</f>
        <v>2024-07</v>
      </c>
    </row>
    <row r="508" spans="1:11">
      <c r="A508" s="1">
        <v>45482</v>
      </c>
      <c r="B508" t="s">
        <v>68</v>
      </c>
      <c r="C508" t="s">
        <v>5</v>
      </c>
      <c r="D508" t="s">
        <v>70</v>
      </c>
      <c r="E508">
        <v>5</v>
      </c>
      <c r="F508">
        <v>475.73</v>
      </c>
      <c r="G508" t="s">
        <v>15</v>
      </c>
      <c r="H508" t="s">
        <v>71</v>
      </c>
      <c r="I508">
        <v>2378.65</v>
      </c>
      <c r="J508">
        <f>Tabela1[[#This Row],[Valor Total]]/Tabela1[[#This Row],[Quantidade]]</f>
        <v>475.73</v>
      </c>
      <c r="K508" t="str">
        <f>TEXT(Tabela1[[#This Row],[Data]],"aaaa-mm")</f>
        <v>2024-07</v>
      </c>
    </row>
    <row r="509" spans="1:11">
      <c r="A509" s="1">
        <v>45483</v>
      </c>
      <c r="B509" t="s">
        <v>68</v>
      </c>
      <c r="C509" t="s">
        <v>5</v>
      </c>
      <c r="D509" t="s">
        <v>73</v>
      </c>
      <c r="E509">
        <v>8</v>
      </c>
      <c r="F509">
        <v>185.03</v>
      </c>
      <c r="G509" t="s">
        <v>14</v>
      </c>
      <c r="H509" t="s">
        <v>63</v>
      </c>
      <c r="I509">
        <v>1480.24</v>
      </c>
      <c r="J509">
        <f>Tabela1[[#This Row],[Valor Total]]/Tabela1[[#This Row],[Quantidade]]</f>
        <v>185.03</v>
      </c>
      <c r="K509" t="str">
        <f>TEXT(Tabela1[[#This Row],[Data]],"aaaa-mm")</f>
        <v>2024-07</v>
      </c>
    </row>
    <row r="510" spans="1:11">
      <c r="A510" s="1">
        <v>45484</v>
      </c>
      <c r="B510" t="s">
        <v>61</v>
      </c>
      <c r="C510" t="s">
        <v>6</v>
      </c>
      <c r="D510" t="s">
        <v>62</v>
      </c>
      <c r="E510">
        <v>8</v>
      </c>
      <c r="F510">
        <v>225.24</v>
      </c>
      <c r="G510" t="s">
        <v>13</v>
      </c>
      <c r="H510" t="s">
        <v>63</v>
      </c>
      <c r="I510">
        <v>1801.92</v>
      </c>
      <c r="J510">
        <f>Tabela1[[#This Row],[Valor Total]]/Tabela1[[#This Row],[Quantidade]]</f>
        <v>225.24</v>
      </c>
      <c r="K510" t="str">
        <f>TEXT(Tabela1[[#This Row],[Data]],"aaaa-mm")</f>
        <v>2024-07</v>
      </c>
    </row>
    <row r="511" spans="1:11">
      <c r="A511" s="1">
        <v>45486</v>
      </c>
      <c r="B511" t="s">
        <v>74</v>
      </c>
      <c r="C511" t="s">
        <v>7</v>
      </c>
      <c r="D511" t="s">
        <v>73</v>
      </c>
      <c r="E511">
        <v>9</v>
      </c>
      <c r="F511">
        <v>37.86</v>
      </c>
      <c r="G511" t="s">
        <v>13</v>
      </c>
      <c r="H511" t="s">
        <v>71</v>
      </c>
      <c r="I511">
        <v>340.74</v>
      </c>
      <c r="J511">
        <f>Tabela1[[#This Row],[Valor Total]]/Tabela1[[#This Row],[Quantidade]]</f>
        <v>37.86</v>
      </c>
      <c r="K511" t="str">
        <f>TEXT(Tabela1[[#This Row],[Data]],"aaaa-mm")</f>
        <v>2024-07</v>
      </c>
    </row>
    <row r="512" spans="1:11">
      <c r="A512" s="1">
        <v>45487</v>
      </c>
      <c r="B512" t="s">
        <v>74</v>
      </c>
      <c r="C512" t="s">
        <v>8</v>
      </c>
      <c r="D512" t="s">
        <v>70</v>
      </c>
      <c r="E512">
        <v>7</v>
      </c>
      <c r="F512">
        <v>149.21</v>
      </c>
      <c r="G512" t="s">
        <v>14</v>
      </c>
      <c r="H512" t="s">
        <v>67</v>
      </c>
      <c r="I512">
        <v>1044.47</v>
      </c>
      <c r="J512">
        <f>Tabela1[[#This Row],[Valor Total]]/Tabela1[[#This Row],[Quantidade]]</f>
        <v>149.21</v>
      </c>
      <c r="K512" t="str">
        <f>TEXT(Tabela1[[#This Row],[Data]],"aaaa-mm")</f>
        <v>2024-07</v>
      </c>
    </row>
    <row r="513" spans="1:11">
      <c r="A513" s="1">
        <v>45488</v>
      </c>
      <c r="B513" t="s">
        <v>69</v>
      </c>
      <c r="C513" t="s">
        <v>8</v>
      </c>
      <c r="D513" t="s">
        <v>73</v>
      </c>
      <c r="E513">
        <v>6</v>
      </c>
      <c r="F513">
        <v>45.15</v>
      </c>
      <c r="G513" t="s">
        <v>12</v>
      </c>
      <c r="H513" t="s">
        <v>64</v>
      </c>
      <c r="I513">
        <v>270.89999999999998</v>
      </c>
      <c r="J513">
        <f>Tabela1[[#This Row],[Valor Total]]/Tabela1[[#This Row],[Quantidade]]</f>
        <v>45.15</v>
      </c>
      <c r="K513" t="str">
        <f>TEXT(Tabela1[[#This Row],[Data]],"aaaa-mm")</f>
        <v>2024-07</v>
      </c>
    </row>
    <row r="514" spans="1:11">
      <c r="A514" s="1">
        <v>45489</v>
      </c>
      <c r="B514" t="s">
        <v>61</v>
      </c>
      <c r="C514" t="s">
        <v>8</v>
      </c>
      <c r="D514" t="s">
        <v>62</v>
      </c>
      <c r="E514">
        <v>3</v>
      </c>
      <c r="F514">
        <v>22.5</v>
      </c>
      <c r="G514" t="s">
        <v>13</v>
      </c>
      <c r="H514" t="s">
        <v>63</v>
      </c>
      <c r="I514">
        <v>67.5</v>
      </c>
      <c r="J514">
        <f>Tabela1[[#This Row],[Valor Total]]/Tabela1[[#This Row],[Quantidade]]</f>
        <v>22.5</v>
      </c>
      <c r="K514" t="str">
        <f>TEXT(Tabela1[[#This Row],[Data]],"aaaa-mm")</f>
        <v>2024-07</v>
      </c>
    </row>
    <row r="515" spans="1:11">
      <c r="A515" s="1">
        <v>45490</v>
      </c>
      <c r="B515" t="s">
        <v>74</v>
      </c>
      <c r="C515" t="s">
        <v>8</v>
      </c>
      <c r="D515" t="s">
        <v>73</v>
      </c>
      <c r="E515">
        <v>9</v>
      </c>
      <c r="F515">
        <v>247.28</v>
      </c>
      <c r="G515" t="s">
        <v>14</v>
      </c>
      <c r="H515" t="s">
        <v>71</v>
      </c>
      <c r="I515">
        <v>2225.52</v>
      </c>
      <c r="J515">
        <f>Tabela1[[#This Row],[Valor Total]]/Tabela1[[#This Row],[Quantidade]]</f>
        <v>247.28</v>
      </c>
      <c r="K515" t="str">
        <f>TEXT(Tabela1[[#This Row],[Data]],"aaaa-mm")</f>
        <v>2024-07</v>
      </c>
    </row>
    <row r="516" spans="1:11">
      <c r="A516" s="1">
        <v>45491</v>
      </c>
      <c r="B516" t="s">
        <v>61</v>
      </c>
      <c r="C516" t="s">
        <v>7</v>
      </c>
      <c r="D516" t="s">
        <v>62</v>
      </c>
      <c r="E516">
        <v>2</v>
      </c>
      <c r="F516">
        <v>354.73</v>
      </c>
      <c r="G516" t="s">
        <v>11</v>
      </c>
      <c r="H516" t="s">
        <v>71</v>
      </c>
      <c r="I516">
        <v>709.46</v>
      </c>
      <c r="J516">
        <f>Tabela1[[#This Row],[Valor Total]]/Tabela1[[#This Row],[Quantidade]]</f>
        <v>354.73</v>
      </c>
      <c r="K516" t="str">
        <f>TEXT(Tabela1[[#This Row],[Data]],"aaaa-mm")</f>
        <v>2024-07</v>
      </c>
    </row>
    <row r="517" spans="1:11">
      <c r="A517" s="1">
        <v>45492</v>
      </c>
      <c r="B517" t="s">
        <v>68</v>
      </c>
      <c r="C517" t="s">
        <v>4</v>
      </c>
      <c r="D517" t="s">
        <v>65</v>
      </c>
      <c r="E517">
        <v>8</v>
      </c>
      <c r="F517">
        <v>417.71</v>
      </c>
      <c r="G517" t="s">
        <v>12</v>
      </c>
      <c r="H517" t="s">
        <v>71</v>
      </c>
      <c r="I517">
        <v>3341.68</v>
      </c>
      <c r="J517">
        <f>Tabela1[[#This Row],[Valor Total]]/Tabela1[[#This Row],[Quantidade]]</f>
        <v>417.71</v>
      </c>
      <c r="K517" t="str">
        <f>TEXT(Tabela1[[#This Row],[Data]],"aaaa-mm")</f>
        <v>2024-07</v>
      </c>
    </row>
    <row r="518" spans="1:11">
      <c r="A518" s="1">
        <v>45493</v>
      </c>
      <c r="B518" t="s">
        <v>61</v>
      </c>
      <c r="C518" t="s">
        <v>6</v>
      </c>
      <c r="D518" t="s">
        <v>66</v>
      </c>
      <c r="E518">
        <v>8</v>
      </c>
      <c r="F518">
        <v>371.38</v>
      </c>
      <c r="G518" t="s">
        <v>14</v>
      </c>
      <c r="H518" t="s">
        <v>67</v>
      </c>
      <c r="I518">
        <v>2971.04</v>
      </c>
      <c r="J518">
        <f>Tabela1[[#This Row],[Valor Total]]/Tabela1[[#This Row],[Quantidade]]</f>
        <v>371.38</v>
      </c>
      <c r="K518" t="str">
        <f>TEXT(Tabela1[[#This Row],[Data]],"aaaa-mm")</f>
        <v>2024-07</v>
      </c>
    </row>
    <row r="519" spans="1:11">
      <c r="A519" s="1">
        <v>45494</v>
      </c>
      <c r="B519" t="s">
        <v>72</v>
      </c>
      <c r="C519" t="s">
        <v>6</v>
      </c>
      <c r="D519" t="s">
        <v>66</v>
      </c>
      <c r="E519">
        <v>3</v>
      </c>
      <c r="F519">
        <v>180.43</v>
      </c>
      <c r="G519" t="s">
        <v>15</v>
      </c>
      <c r="H519" t="s">
        <v>71</v>
      </c>
      <c r="I519">
        <v>541.29</v>
      </c>
      <c r="J519">
        <f>Tabela1[[#This Row],[Valor Total]]/Tabela1[[#This Row],[Quantidade]]</f>
        <v>180.42999999999998</v>
      </c>
      <c r="K519" t="str">
        <f>TEXT(Tabela1[[#This Row],[Data]],"aaaa-mm")</f>
        <v>2024-07</v>
      </c>
    </row>
    <row r="520" spans="1:11">
      <c r="A520" s="1">
        <v>45495</v>
      </c>
      <c r="B520" t="s">
        <v>68</v>
      </c>
      <c r="C520" t="s">
        <v>4</v>
      </c>
      <c r="D520" t="s">
        <v>73</v>
      </c>
      <c r="E520">
        <v>8</v>
      </c>
      <c r="F520">
        <v>353.66</v>
      </c>
      <c r="G520" t="s">
        <v>13</v>
      </c>
      <c r="H520" t="s">
        <v>67</v>
      </c>
      <c r="I520">
        <v>2829.28</v>
      </c>
      <c r="J520">
        <f>Tabela1[[#This Row],[Valor Total]]/Tabela1[[#This Row],[Quantidade]]</f>
        <v>353.66</v>
      </c>
      <c r="K520" t="str">
        <f>TEXT(Tabela1[[#This Row],[Data]],"aaaa-mm")</f>
        <v>2024-07</v>
      </c>
    </row>
    <row r="521" spans="1:11">
      <c r="A521" s="1">
        <v>45496</v>
      </c>
      <c r="B521" t="s">
        <v>72</v>
      </c>
      <c r="C521" t="s">
        <v>8</v>
      </c>
      <c r="D521" t="s">
        <v>62</v>
      </c>
      <c r="E521">
        <v>8</v>
      </c>
      <c r="F521">
        <v>40.020000000000003</v>
      </c>
      <c r="G521" t="s">
        <v>11</v>
      </c>
      <c r="H521" t="s">
        <v>63</v>
      </c>
      <c r="I521">
        <v>320.16000000000003</v>
      </c>
      <c r="J521">
        <f>Tabela1[[#This Row],[Valor Total]]/Tabela1[[#This Row],[Quantidade]]</f>
        <v>40.020000000000003</v>
      </c>
      <c r="K521" t="str">
        <f>TEXT(Tabela1[[#This Row],[Data]],"aaaa-mm")</f>
        <v>2024-07</v>
      </c>
    </row>
    <row r="522" spans="1:11">
      <c r="A522" s="1">
        <v>45498</v>
      </c>
      <c r="B522" t="s">
        <v>74</v>
      </c>
      <c r="C522" t="s">
        <v>6</v>
      </c>
      <c r="D522" t="s">
        <v>62</v>
      </c>
      <c r="E522">
        <v>9</v>
      </c>
      <c r="F522">
        <v>348.3</v>
      </c>
      <c r="G522" t="s">
        <v>15</v>
      </c>
      <c r="H522" t="s">
        <v>64</v>
      </c>
      <c r="I522">
        <v>3134.7</v>
      </c>
      <c r="J522">
        <f>Tabela1[[#This Row],[Valor Total]]/Tabela1[[#This Row],[Quantidade]]</f>
        <v>348.29999999999995</v>
      </c>
      <c r="K522" t="str">
        <f>TEXT(Tabela1[[#This Row],[Data]],"aaaa-mm")</f>
        <v>2024-07</v>
      </c>
    </row>
    <row r="523" spans="1:11">
      <c r="A523" s="1">
        <v>45499</v>
      </c>
      <c r="B523" t="s">
        <v>61</v>
      </c>
      <c r="C523" t="s">
        <v>8</v>
      </c>
      <c r="D523" t="s">
        <v>70</v>
      </c>
      <c r="E523">
        <v>9</v>
      </c>
      <c r="F523">
        <v>460.88</v>
      </c>
      <c r="G523" t="s">
        <v>12</v>
      </c>
      <c r="H523" t="s">
        <v>71</v>
      </c>
      <c r="I523">
        <v>4147.92</v>
      </c>
      <c r="J523">
        <f>Tabela1[[#This Row],[Valor Total]]/Tabela1[[#This Row],[Quantidade]]</f>
        <v>460.88</v>
      </c>
      <c r="K523" t="str">
        <f>TEXT(Tabela1[[#This Row],[Data]],"aaaa-mm")</f>
        <v>2024-07</v>
      </c>
    </row>
    <row r="524" spans="1:11">
      <c r="A524" s="1">
        <v>45500</v>
      </c>
      <c r="B524" t="s">
        <v>69</v>
      </c>
      <c r="C524" t="s">
        <v>6</v>
      </c>
      <c r="D524" t="s">
        <v>62</v>
      </c>
      <c r="E524">
        <v>4</v>
      </c>
      <c r="F524">
        <v>219.17</v>
      </c>
      <c r="G524" t="s">
        <v>13</v>
      </c>
      <c r="H524" t="s">
        <v>71</v>
      </c>
      <c r="I524">
        <v>876.68</v>
      </c>
      <c r="J524">
        <f>Tabela1[[#This Row],[Valor Total]]/Tabela1[[#This Row],[Quantidade]]</f>
        <v>219.17</v>
      </c>
      <c r="K524" t="str">
        <f>TEXT(Tabela1[[#This Row],[Data]],"aaaa-mm")</f>
        <v>2024-07</v>
      </c>
    </row>
    <row r="525" spans="1:11">
      <c r="A525" s="1">
        <v>45501</v>
      </c>
      <c r="B525" t="s">
        <v>74</v>
      </c>
      <c r="C525" t="s">
        <v>6</v>
      </c>
      <c r="D525" t="s">
        <v>70</v>
      </c>
      <c r="E525">
        <v>9</v>
      </c>
      <c r="F525">
        <v>265.08</v>
      </c>
      <c r="G525" t="s">
        <v>11</v>
      </c>
      <c r="H525" t="s">
        <v>64</v>
      </c>
      <c r="I525">
        <v>2385.7199999999998</v>
      </c>
      <c r="J525">
        <f>Tabela1[[#This Row],[Valor Total]]/Tabela1[[#This Row],[Quantidade]]</f>
        <v>265.08</v>
      </c>
      <c r="K525" t="str">
        <f>TEXT(Tabela1[[#This Row],[Data]],"aaaa-mm")</f>
        <v>2024-07</v>
      </c>
    </row>
    <row r="526" spans="1:11">
      <c r="A526" s="1">
        <v>45502</v>
      </c>
      <c r="B526" t="s">
        <v>72</v>
      </c>
      <c r="C526" t="s">
        <v>6</v>
      </c>
      <c r="D526" t="s">
        <v>73</v>
      </c>
      <c r="E526">
        <v>1</v>
      </c>
      <c r="F526">
        <v>101.38</v>
      </c>
      <c r="G526" t="s">
        <v>11</v>
      </c>
      <c r="H526" t="s">
        <v>63</v>
      </c>
      <c r="I526">
        <v>101.38</v>
      </c>
      <c r="J526">
        <f>Tabela1[[#This Row],[Valor Total]]/Tabela1[[#This Row],[Quantidade]]</f>
        <v>101.38</v>
      </c>
      <c r="K526" t="str">
        <f>TEXT(Tabela1[[#This Row],[Data]],"aaaa-mm")</f>
        <v>2024-07</v>
      </c>
    </row>
    <row r="527" spans="1:11">
      <c r="A527" s="1">
        <v>45503</v>
      </c>
      <c r="B527" t="s">
        <v>74</v>
      </c>
      <c r="C527" t="s">
        <v>4</v>
      </c>
      <c r="D527" t="s">
        <v>73</v>
      </c>
      <c r="E527">
        <v>7</v>
      </c>
      <c r="F527">
        <v>137.11000000000001</v>
      </c>
      <c r="G527" t="s">
        <v>14</v>
      </c>
      <c r="H527" t="s">
        <v>67</v>
      </c>
      <c r="I527">
        <v>959.7700000000001</v>
      </c>
      <c r="J527">
        <f>Tabela1[[#This Row],[Valor Total]]/Tabela1[[#This Row],[Quantidade]]</f>
        <v>137.11000000000001</v>
      </c>
      <c r="K527" t="str">
        <f>TEXT(Tabela1[[#This Row],[Data]],"aaaa-mm")</f>
        <v>2024-07</v>
      </c>
    </row>
    <row r="528" spans="1:11">
      <c r="A528" s="1">
        <v>45504</v>
      </c>
      <c r="B528" t="s">
        <v>74</v>
      </c>
      <c r="C528" t="s">
        <v>5</v>
      </c>
      <c r="D528" t="s">
        <v>62</v>
      </c>
      <c r="E528">
        <v>8</v>
      </c>
      <c r="F528">
        <v>92.75</v>
      </c>
      <c r="G528" t="s">
        <v>13</v>
      </c>
      <c r="H528" t="s">
        <v>67</v>
      </c>
      <c r="I528">
        <v>742</v>
      </c>
      <c r="J528">
        <f>Tabela1[[#This Row],[Valor Total]]/Tabela1[[#This Row],[Quantidade]]</f>
        <v>92.75</v>
      </c>
      <c r="K528" t="str">
        <f>TEXT(Tabela1[[#This Row],[Data]],"aaaa-mm")</f>
        <v>2024-07</v>
      </c>
    </row>
    <row r="529" spans="1:11">
      <c r="A529" s="1">
        <v>45505</v>
      </c>
      <c r="B529" t="s">
        <v>72</v>
      </c>
      <c r="C529" t="s">
        <v>7</v>
      </c>
      <c r="D529" t="s">
        <v>65</v>
      </c>
      <c r="E529">
        <v>8</v>
      </c>
      <c r="F529">
        <v>344.88</v>
      </c>
      <c r="G529" t="s">
        <v>13</v>
      </c>
      <c r="H529" t="s">
        <v>67</v>
      </c>
      <c r="I529">
        <v>2759.04</v>
      </c>
      <c r="J529">
        <f>Tabela1[[#This Row],[Valor Total]]/Tabela1[[#This Row],[Quantidade]]</f>
        <v>344.88</v>
      </c>
      <c r="K529" t="str">
        <f>TEXT(Tabela1[[#This Row],[Data]],"aaaa-mm")</f>
        <v>2024-08</v>
      </c>
    </row>
    <row r="530" spans="1:11">
      <c r="A530" s="1">
        <v>45506</v>
      </c>
      <c r="B530" t="s">
        <v>61</v>
      </c>
      <c r="C530" t="s">
        <v>6</v>
      </c>
      <c r="D530" t="s">
        <v>62</v>
      </c>
      <c r="E530">
        <v>2</v>
      </c>
      <c r="F530">
        <v>20.22</v>
      </c>
      <c r="G530" t="s">
        <v>11</v>
      </c>
      <c r="H530" t="s">
        <v>63</v>
      </c>
      <c r="I530">
        <v>40.44</v>
      </c>
      <c r="J530">
        <f>Tabela1[[#This Row],[Valor Total]]/Tabela1[[#This Row],[Quantidade]]</f>
        <v>20.22</v>
      </c>
      <c r="K530" t="str">
        <f>TEXT(Tabela1[[#This Row],[Data]],"aaaa-mm")</f>
        <v>2024-08</v>
      </c>
    </row>
    <row r="531" spans="1:11">
      <c r="A531" s="1">
        <v>45507</v>
      </c>
      <c r="B531" t="s">
        <v>61</v>
      </c>
      <c r="C531" t="s">
        <v>5</v>
      </c>
      <c r="D531" t="s">
        <v>70</v>
      </c>
      <c r="E531">
        <v>5</v>
      </c>
      <c r="F531">
        <v>264.94</v>
      </c>
      <c r="G531" t="s">
        <v>11</v>
      </c>
      <c r="H531" t="s">
        <v>71</v>
      </c>
      <c r="I531">
        <v>1324.7</v>
      </c>
      <c r="J531">
        <f>Tabela1[[#This Row],[Valor Total]]/Tabela1[[#This Row],[Quantidade]]</f>
        <v>264.94</v>
      </c>
      <c r="K531" t="str">
        <f>TEXT(Tabela1[[#This Row],[Data]],"aaaa-mm")</f>
        <v>2024-08</v>
      </c>
    </row>
    <row r="532" spans="1:11">
      <c r="A532" s="1">
        <v>45509</v>
      </c>
      <c r="B532" t="s">
        <v>74</v>
      </c>
      <c r="C532" t="s">
        <v>7</v>
      </c>
      <c r="D532" t="s">
        <v>73</v>
      </c>
      <c r="E532">
        <v>4</v>
      </c>
      <c r="F532">
        <v>263.68</v>
      </c>
      <c r="G532" t="s">
        <v>14</v>
      </c>
      <c r="H532" t="s">
        <v>64</v>
      </c>
      <c r="I532">
        <v>1054.72</v>
      </c>
      <c r="J532">
        <f>Tabela1[[#This Row],[Valor Total]]/Tabela1[[#This Row],[Quantidade]]</f>
        <v>263.68</v>
      </c>
      <c r="K532" t="str">
        <f>TEXT(Tabela1[[#This Row],[Data]],"aaaa-mm")</f>
        <v>2024-08</v>
      </c>
    </row>
    <row r="533" spans="1:11">
      <c r="A533" s="1">
        <v>45510</v>
      </c>
      <c r="B533" t="s">
        <v>61</v>
      </c>
      <c r="C533" t="s">
        <v>5</v>
      </c>
      <c r="D533" t="s">
        <v>65</v>
      </c>
      <c r="E533">
        <v>4</v>
      </c>
      <c r="F533">
        <v>130.35</v>
      </c>
      <c r="G533" t="s">
        <v>14</v>
      </c>
      <c r="H533" t="s">
        <v>64</v>
      </c>
      <c r="I533">
        <v>521.4</v>
      </c>
      <c r="J533">
        <f>Tabela1[[#This Row],[Valor Total]]/Tabela1[[#This Row],[Quantidade]]</f>
        <v>130.35</v>
      </c>
      <c r="K533" t="str">
        <f>TEXT(Tabela1[[#This Row],[Data]],"aaaa-mm")</f>
        <v>2024-08</v>
      </c>
    </row>
    <row r="534" spans="1:11">
      <c r="A534" s="1">
        <v>45511</v>
      </c>
      <c r="B534" t="s">
        <v>61</v>
      </c>
      <c r="C534" t="s">
        <v>4</v>
      </c>
      <c r="D534" t="s">
        <v>70</v>
      </c>
      <c r="E534">
        <v>3</v>
      </c>
      <c r="F534">
        <v>333.12</v>
      </c>
      <c r="G534" t="s">
        <v>13</v>
      </c>
      <c r="H534" t="s">
        <v>63</v>
      </c>
      <c r="I534">
        <v>999.36</v>
      </c>
      <c r="J534">
        <f>Tabela1[[#This Row],[Valor Total]]/Tabela1[[#This Row],[Quantidade]]</f>
        <v>333.12</v>
      </c>
      <c r="K534" t="str">
        <f>TEXT(Tabela1[[#This Row],[Data]],"aaaa-mm")</f>
        <v>2024-08</v>
      </c>
    </row>
    <row r="535" spans="1:11">
      <c r="A535" s="1">
        <v>45512</v>
      </c>
      <c r="B535" t="s">
        <v>69</v>
      </c>
      <c r="C535" t="s">
        <v>7</v>
      </c>
      <c r="D535" t="s">
        <v>70</v>
      </c>
      <c r="E535">
        <v>4</v>
      </c>
      <c r="F535">
        <v>126.43</v>
      </c>
      <c r="G535" t="s">
        <v>14</v>
      </c>
      <c r="H535" t="s">
        <v>71</v>
      </c>
      <c r="I535">
        <v>505.72</v>
      </c>
      <c r="J535">
        <f>Tabela1[[#This Row],[Valor Total]]/Tabela1[[#This Row],[Quantidade]]</f>
        <v>126.43</v>
      </c>
      <c r="K535" t="str">
        <f>TEXT(Tabela1[[#This Row],[Data]],"aaaa-mm")</f>
        <v>2024-08</v>
      </c>
    </row>
    <row r="536" spans="1:11">
      <c r="A536" s="1">
        <v>45513</v>
      </c>
      <c r="B536" t="s">
        <v>68</v>
      </c>
      <c r="C536" t="s">
        <v>6</v>
      </c>
      <c r="D536" t="s">
        <v>65</v>
      </c>
      <c r="E536">
        <v>3</v>
      </c>
      <c r="F536">
        <v>269.36</v>
      </c>
      <c r="G536" t="s">
        <v>15</v>
      </c>
      <c r="H536" t="s">
        <v>64</v>
      </c>
      <c r="I536">
        <v>808.08</v>
      </c>
      <c r="J536">
        <f>Tabela1[[#This Row],[Valor Total]]/Tabela1[[#This Row],[Quantidade]]</f>
        <v>269.36</v>
      </c>
      <c r="K536" t="str">
        <f>TEXT(Tabela1[[#This Row],[Data]],"aaaa-mm")</f>
        <v>2024-08</v>
      </c>
    </row>
    <row r="537" spans="1:11">
      <c r="A537" s="1">
        <v>45514</v>
      </c>
      <c r="B537" t="s">
        <v>72</v>
      </c>
      <c r="C537" t="s">
        <v>8</v>
      </c>
      <c r="D537" t="s">
        <v>62</v>
      </c>
      <c r="E537">
        <v>9</v>
      </c>
      <c r="F537">
        <v>153.12</v>
      </c>
      <c r="G537" t="s">
        <v>14</v>
      </c>
      <c r="H537" t="s">
        <v>64</v>
      </c>
      <c r="I537">
        <v>1378.08</v>
      </c>
      <c r="J537">
        <f>Tabela1[[#This Row],[Valor Total]]/Tabela1[[#This Row],[Quantidade]]</f>
        <v>153.12</v>
      </c>
      <c r="K537" t="str">
        <f>TEXT(Tabela1[[#This Row],[Data]],"aaaa-mm")</f>
        <v>2024-08</v>
      </c>
    </row>
    <row r="538" spans="1:11">
      <c r="A538" s="1">
        <v>45515</v>
      </c>
      <c r="B538" t="s">
        <v>74</v>
      </c>
      <c r="C538" t="s">
        <v>8</v>
      </c>
      <c r="D538" t="s">
        <v>62</v>
      </c>
      <c r="E538">
        <v>1</v>
      </c>
      <c r="F538">
        <v>438.81</v>
      </c>
      <c r="G538" t="s">
        <v>11</v>
      </c>
      <c r="H538" t="s">
        <v>63</v>
      </c>
      <c r="I538">
        <v>438.81</v>
      </c>
      <c r="J538">
        <f>Tabela1[[#This Row],[Valor Total]]/Tabela1[[#This Row],[Quantidade]]</f>
        <v>438.81</v>
      </c>
      <c r="K538" t="str">
        <f>TEXT(Tabela1[[#This Row],[Data]],"aaaa-mm")</f>
        <v>2024-08</v>
      </c>
    </row>
    <row r="539" spans="1:11">
      <c r="A539" s="1">
        <v>45516</v>
      </c>
      <c r="B539" t="s">
        <v>61</v>
      </c>
      <c r="C539" t="s">
        <v>4</v>
      </c>
      <c r="D539" t="s">
        <v>65</v>
      </c>
      <c r="E539">
        <v>2</v>
      </c>
      <c r="F539">
        <v>56.4</v>
      </c>
      <c r="G539" t="s">
        <v>12</v>
      </c>
      <c r="H539" t="s">
        <v>67</v>
      </c>
      <c r="I539">
        <v>112.8</v>
      </c>
      <c r="J539">
        <f>Tabela1[[#This Row],[Valor Total]]/Tabela1[[#This Row],[Quantidade]]</f>
        <v>56.4</v>
      </c>
      <c r="K539" t="str">
        <f>TEXT(Tabela1[[#This Row],[Data]],"aaaa-mm")</f>
        <v>2024-08</v>
      </c>
    </row>
    <row r="540" spans="1:11">
      <c r="A540" s="1">
        <v>45517</v>
      </c>
      <c r="B540" t="s">
        <v>72</v>
      </c>
      <c r="C540" t="s">
        <v>6</v>
      </c>
      <c r="D540" t="s">
        <v>65</v>
      </c>
      <c r="E540">
        <v>1</v>
      </c>
      <c r="F540">
        <v>121.55</v>
      </c>
      <c r="G540" t="s">
        <v>12</v>
      </c>
      <c r="H540" t="s">
        <v>71</v>
      </c>
      <c r="I540">
        <v>121.55</v>
      </c>
      <c r="J540">
        <f>Tabela1[[#This Row],[Valor Total]]/Tabela1[[#This Row],[Quantidade]]</f>
        <v>121.55</v>
      </c>
      <c r="K540" t="str">
        <f>TEXT(Tabela1[[#This Row],[Data]],"aaaa-mm")</f>
        <v>2024-08</v>
      </c>
    </row>
    <row r="541" spans="1:11">
      <c r="A541" s="1">
        <v>45518</v>
      </c>
      <c r="B541" t="s">
        <v>68</v>
      </c>
      <c r="C541" t="s">
        <v>7</v>
      </c>
      <c r="D541" t="s">
        <v>65</v>
      </c>
      <c r="E541">
        <v>6</v>
      </c>
      <c r="F541">
        <v>365.87</v>
      </c>
      <c r="G541" t="s">
        <v>12</v>
      </c>
      <c r="H541" t="s">
        <v>63</v>
      </c>
      <c r="I541">
        <v>2195.2199999999998</v>
      </c>
      <c r="J541">
        <f>Tabela1[[#This Row],[Valor Total]]/Tabela1[[#This Row],[Quantidade]]</f>
        <v>365.86999999999995</v>
      </c>
      <c r="K541" t="str">
        <f>TEXT(Tabela1[[#This Row],[Data]],"aaaa-mm")</f>
        <v>2024-08</v>
      </c>
    </row>
    <row r="542" spans="1:11">
      <c r="A542" s="1">
        <v>45519</v>
      </c>
      <c r="B542" t="s">
        <v>68</v>
      </c>
      <c r="C542" t="s">
        <v>5</v>
      </c>
      <c r="D542" t="s">
        <v>70</v>
      </c>
      <c r="E542">
        <v>9</v>
      </c>
      <c r="F542">
        <v>455.95</v>
      </c>
      <c r="G542" t="s">
        <v>13</v>
      </c>
      <c r="H542" t="s">
        <v>64</v>
      </c>
      <c r="I542">
        <v>4103.55</v>
      </c>
      <c r="J542">
        <f>Tabela1[[#This Row],[Valor Total]]/Tabela1[[#This Row],[Quantidade]]</f>
        <v>455.95000000000005</v>
      </c>
      <c r="K542" t="str">
        <f>TEXT(Tabela1[[#This Row],[Data]],"aaaa-mm")</f>
        <v>2024-08</v>
      </c>
    </row>
    <row r="543" spans="1:11">
      <c r="A543" s="1">
        <v>45521</v>
      </c>
      <c r="B543" t="s">
        <v>72</v>
      </c>
      <c r="C543" t="s">
        <v>5</v>
      </c>
      <c r="D543" t="s">
        <v>70</v>
      </c>
      <c r="E543">
        <v>7</v>
      </c>
      <c r="F543">
        <v>407.31</v>
      </c>
      <c r="G543" t="s">
        <v>11</v>
      </c>
      <c r="H543" t="s">
        <v>67</v>
      </c>
      <c r="I543">
        <v>2851.17</v>
      </c>
      <c r="J543">
        <f>Tabela1[[#This Row],[Valor Total]]/Tabela1[[#This Row],[Quantidade]]</f>
        <v>407.31</v>
      </c>
      <c r="K543" t="str">
        <f>TEXT(Tabela1[[#This Row],[Data]],"aaaa-mm")</f>
        <v>2024-08</v>
      </c>
    </row>
    <row r="544" spans="1:11">
      <c r="A544" s="1">
        <v>45522</v>
      </c>
      <c r="B544" t="s">
        <v>72</v>
      </c>
      <c r="C544" t="s">
        <v>4</v>
      </c>
      <c r="D544" t="s">
        <v>70</v>
      </c>
      <c r="E544">
        <v>7</v>
      </c>
      <c r="F544">
        <v>367.94</v>
      </c>
      <c r="G544" t="s">
        <v>14</v>
      </c>
      <c r="H544" t="s">
        <v>67</v>
      </c>
      <c r="I544">
        <v>2575.58</v>
      </c>
      <c r="J544">
        <f>Tabela1[[#This Row],[Valor Total]]/Tabela1[[#This Row],[Quantidade]]</f>
        <v>367.94</v>
      </c>
      <c r="K544" t="str">
        <f>TEXT(Tabela1[[#This Row],[Data]],"aaaa-mm")</f>
        <v>2024-08</v>
      </c>
    </row>
    <row r="545" spans="1:11">
      <c r="A545" s="1">
        <v>45523</v>
      </c>
      <c r="B545" t="s">
        <v>69</v>
      </c>
      <c r="C545" t="s">
        <v>5</v>
      </c>
      <c r="D545" t="s">
        <v>66</v>
      </c>
      <c r="E545">
        <v>4</v>
      </c>
      <c r="F545">
        <v>72.36</v>
      </c>
      <c r="G545" t="s">
        <v>14</v>
      </c>
      <c r="H545" t="s">
        <v>64</v>
      </c>
      <c r="I545">
        <v>289.44</v>
      </c>
      <c r="J545">
        <f>Tabela1[[#This Row],[Valor Total]]/Tabela1[[#This Row],[Quantidade]]</f>
        <v>72.36</v>
      </c>
      <c r="K545" t="str">
        <f>TEXT(Tabela1[[#This Row],[Data]],"aaaa-mm")</f>
        <v>2024-08</v>
      </c>
    </row>
    <row r="546" spans="1:11">
      <c r="A546" s="1">
        <v>45524</v>
      </c>
      <c r="B546" t="s">
        <v>72</v>
      </c>
      <c r="C546" t="s">
        <v>5</v>
      </c>
      <c r="D546" t="s">
        <v>65</v>
      </c>
      <c r="E546">
        <v>3</v>
      </c>
      <c r="F546">
        <v>221.85</v>
      </c>
      <c r="G546" t="s">
        <v>14</v>
      </c>
      <c r="H546" t="s">
        <v>63</v>
      </c>
      <c r="I546">
        <v>665.55</v>
      </c>
      <c r="J546">
        <f>Tabela1[[#This Row],[Valor Total]]/Tabela1[[#This Row],[Quantidade]]</f>
        <v>221.85</v>
      </c>
      <c r="K546" t="str">
        <f>TEXT(Tabela1[[#This Row],[Data]],"aaaa-mm")</f>
        <v>2024-08</v>
      </c>
    </row>
    <row r="547" spans="1:11">
      <c r="A547" s="1">
        <v>45525</v>
      </c>
      <c r="B547" t="s">
        <v>68</v>
      </c>
      <c r="C547" t="s">
        <v>8</v>
      </c>
      <c r="D547" t="s">
        <v>66</v>
      </c>
      <c r="E547">
        <v>7</v>
      </c>
      <c r="F547">
        <v>217.05</v>
      </c>
      <c r="G547" t="s">
        <v>14</v>
      </c>
      <c r="H547" t="s">
        <v>63</v>
      </c>
      <c r="I547">
        <v>1519.35</v>
      </c>
      <c r="J547">
        <f>Tabela1[[#This Row],[Valor Total]]/Tabela1[[#This Row],[Quantidade]]</f>
        <v>217.04999999999998</v>
      </c>
      <c r="K547" t="str">
        <f>TEXT(Tabela1[[#This Row],[Data]],"aaaa-mm")</f>
        <v>2024-08</v>
      </c>
    </row>
    <row r="548" spans="1:11">
      <c r="A548" s="1">
        <v>45526</v>
      </c>
      <c r="B548" t="s">
        <v>68</v>
      </c>
      <c r="C548" t="s">
        <v>4</v>
      </c>
      <c r="D548" t="s">
        <v>73</v>
      </c>
      <c r="E548">
        <v>6</v>
      </c>
      <c r="F548">
        <v>54.45</v>
      </c>
      <c r="G548" t="s">
        <v>12</v>
      </c>
      <c r="H548" t="s">
        <v>64</v>
      </c>
      <c r="I548">
        <v>326.7</v>
      </c>
      <c r="J548">
        <f>Tabela1[[#This Row],[Valor Total]]/Tabela1[[#This Row],[Quantidade]]</f>
        <v>54.449999999999996</v>
      </c>
      <c r="K548" t="str">
        <f>TEXT(Tabela1[[#This Row],[Data]],"aaaa-mm")</f>
        <v>2024-08</v>
      </c>
    </row>
    <row r="549" spans="1:11">
      <c r="A549" s="1">
        <v>45527</v>
      </c>
      <c r="B549" t="s">
        <v>72</v>
      </c>
      <c r="C549" t="s">
        <v>7</v>
      </c>
      <c r="D549" t="s">
        <v>73</v>
      </c>
      <c r="E549">
        <v>3</v>
      </c>
      <c r="F549">
        <v>445.69</v>
      </c>
      <c r="G549" t="s">
        <v>12</v>
      </c>
      <c r="H549" t="s">
        <v>71</v>
      </c>
      <c r="I549">
        <v>1337.07</v>
      </c>
      <c r="J549">
        <f>Tabela1[[#This Row],[Valor Total]]/Tabela1[[#This Row],[Quantidade]]</f>
        <v>445.69</v>
      </c>
      <c r="K549" t="str">
        <f>TEXT(Tabela1[[#This Row],[Data]],"aaaa-mm")</f>
        <v>2024-08</v>
      </c>
    </row>
    <row r="550" spans="1:11">
      <c r="A550" s="1">
        <v>45528</v>
      </c>
      <c r="B550" t="s">
        <v>61</v>
      </c>
      <c r="C550" t="s">
        <v>6</v>
      </c>
      <c r="D550" t="s">
        <v>65</v>
      </c>
      <c r="E550">
        <v>6</v>
      </c>
      <c r="F550">
        <v>302.68</v>
      </c>
      <c r="G550" t="s">
        <v>13</v>
      </c>
      <c r="H550" t="s">
        <v>67</v>
      </c>
      <c r="I550">
        <v>1816.08</v>
      </c>
      <c r="J550">
        <f>Tabela1[[#This Row],[Valor Total]]/Tabela1[[#This Row],[Quantidade]]</f>
        <v>302.68</v>
      </c>
      <c r="K550" t="str">
        <f>TEXT(Tabela1[[#This Row],[Data]],"aaaa-mm")</f>
        <v>2024-08</v>
      </c>
    </row>
    <row r="551" spans="1:11">
      <c r="A551" s="1">
        <v>45529</v>
      </c>
      <c r="B551" t="s">
        <v>72</v>
      </c>
      <c r="C551" t="s">
        <v>6</v>
      </c>
      <c r="D551" t="s">
        <v>65</v>
      </c>
      <c r="E551">
        <v>6</v>
      </c>
      <c r="F551">
        <v>245.8</v>
      </c>
      <c r="G551" t="s">
        <v>14</v>
      </c>
      <c r="H551" t="s">
        <v>67</v>
      </c>
      <c r="I551">
        <v>1474.8</v>
      </c>
      <c r="J551">
        <f>Tabela1[[#This Row],[Valor Total]]/Tabela1[[#This Row],[Quantidade]]</f>
        <v>245.79999999999998</v>
      </c>
      <c r="K551" t="str">
        <f>TEXT(Tabela1[[#This Row],[Data]],"aaaa-mm")</f>
        <v>2024-08</v>
      </c>
    </row>
    <row r="552" spans="1:11">
      <c r="A552" s="1">
        <v>45530</v>
      </c>
      <c r="B552" t="s">
        <v>61</v>
      </c>
      <c r="C552" t="s">
        <v>5</v>
      </c>
      <c r="D552" t="s">
        <v>70</v>
      </c>
      <c r="E552">
        <v>3</v>
      </c>
      <c r="F552">
        <v>217.55</v>
      </c>
      <c r="G552" t="s">
        <v>13</v>
      </c>
      <c r="H552" t="s">
        <v>71</v>
      </c>
      <c r="I552">
        <v>652.65000000000009</v>
      </c>
      <c r="J552">
        <f>Tabela1[[#This Row],[Valor Total]]/Tabela1[[#This Row],[Quantidade]]</f>
        <v>217.55000000000004</v>
      </c>
      <c r="K552" t="str">
        <f>TEXT(Tabela1[[#This Row],[Data]],"aaaa-mm")</f>
        <v>2024-08</v>
      </c>
    </row>
    <row r="553" spans="1:11">
      <c r="A553" s="1">
        <v>45532</v>
      </c>
      <c r="B553" t="s">
        <v>72</v>
      </c>
      <c r="C553" t="s">
        <v>5</v>
      </c>
      <c r="D553" t="s">
        <v>62</v>
      </c>
      <c r="E553">
        <v>7</v>
      </c>
      <c r="F553">
        <v>232.96</v>
      </c>
      <c r="G553" t="s">
        <v>12</v>
      </c>
      <c r="H553" t="s">
        <v>71</v>
      </c>
      <c r="I553">
        <v>1630.72</v>
      </c>
      <c r="J553">
        <f>Tabela1[[#This Row],[Valor Total]]/Tabela1[[#This Row],[Quantidade]]</f>
        <v>232.96</v>
      </c>
      <c r="K553" t="str">
        <f>TEXT(Tabela1[[#This Row],[Data]],"aaaa-mm")</f>
        <v>2024-08</v>
      </c>
    </row>
    <row r="554" spans="1:11">
      <c r="A554" s="1">
        <v>45533</v>
      </c>
      <c r="B554" t="s">
        <v>68</v>
      </c>
      <c r="C554" t="s">
        <v>8</v>
      </c>
      <c r="D554" t="s">
        <v>70</v>
      </c>
      <c r="E554">
        <v>9</v>
      </c>
      <c r="F554">
        <v>361.57</v>
      </c>
      <c r="G554" t="s">
        <v>12</v>
      </c>
      <c r="H554" t="s">
        <v>67</v>
      </c>
      <c r="I554">
        <v>3254.13</v>
      </c>
      <c r="J554">
        <f>Tabela1[[#This Row],[Valor Total]]/Tabela1[[#This Row],[Quantidade]]</f>
        <v>361.57</v>
      </c>
      <c r="K554" t="str">
        <f>TEXT(Tabela1[[#This Row],[Data]],"aaaa-mm")</f>
        <v>2024-08</v>
      </c>
    </row>
    <row r="555" spans="1:11">
      <c r="A555" s="1">
        <v>45534</v>
      </c>
      <c r="B555" t="s">
        <v>72</v>
      </c>
      <c r="C555" t="s">
        <v>7</v>
      </c>
      <c r="D555" t="s">
        <v>66</v>
      </c>
      <c r="E555">
        <v>9</v>
      </c>
      <c r="F555">
        <v>430.71</v>
      </c>
      <c r="G555" t="s">
        <v>15</v>
      </c>
      <c r="H555" t="s">
        <v>63</v>
      </c>
      <c r="I555">
        <v>3876.39</v>
      </c>
      <c r="J555">
        <f>Tabela1[[#This Row],[Valor Total]]/Tabela1[[#This Row],[Quantidade]]</f>
        <v>430.71</v>
      </c>
      <c r="K555" t="str">
        <f>TEXT(Tabela1[[#This Row],[Data]],"aaaa-mm")</f>
        <v>2024-08</v>
      </c>
    </row>
    <row r="556" spans="1:11">
      <c r="A556" s="1">
        <v>45535</v>
      </c>
      <c r="B556" t="s">
        <v>74</v>
      </c>
      <c r="C556" t="s">
        <v>8</v>
      </c>
      <c r="D556" t="s">
        <v>70</v>
      </c>
      <c r="E556">
        <v>1</v>
      </c>
      <c r="F556">
        <v>222.13</v>
      </c>
      <c r="G556" t="s">
        <v>11</v>
      </c>
      <c r="H556" t="s">
        <v>71</v>
      </c>
      <c r="I556">
        <v>222.13</v>
      </c>
      <c r="J556">
        <f>Tabela1[[#This Row],[Valor Total]]/Tabela1[[#This Row],[Quantidade]]</f>
        <v>222.13</v>
      </c>
      <c r="K556" t="str">
        <f>TEXT(Tabela1[[#This Row],[Data]],"aaaa-mm")</f>
        <v>2024-08</v>
      </c>
    </row>
    <row r="557" spans="1:11">
      <c r="A557" s="1">
        <v>45536</v>
      </c>
      <c r="B557" t="s">
        <v>61</v>
      </c>
      <c r="C557" t="s">
        <v>8</v>
      </c>
      <c r="D557" t="s">
        <v>70</v>
      </c>
      <c r="E557">
        <v>1</v>
      </c>
      <c r="F557">
        <v>116.89</v>
      </c>
      <c r="G557" t="s">
        <v>11</v>
      </c>
      <c r="H557" t="s">
        <v>67</v>
      </c>
      <c r="I557">
        <v>116.89</v>
      </c>
      <c r="J557">
        <f>Tabela1[[#This Row],[Valor Total]]/Tabela1[[#This Row],[Quantidade]]</f>
        <v>116.89</v>
      </c>
      <c r="K557" t="str">
        <f>TEXT(Tabela1[[#This Row],[Data]],"aaaa-mm")</f>
        <v>2024-09</v>
      </c>
    </row>
    <row r="558" spans="1:11">
      <c r="A558" s="1">
        <v>45537</v>
      </c>
      <c r="B558" t="s">
        <v>72</v>
      </c>
      <c r="C558" t="s">
        <v>8</v>
      </c>
      <c r="D558" t="s">
        <v>73</v>
      </c>
      <c r="E558">
        <v>1</v>
      </c>
      <c r="F558">
        <v>219.9</v>
      </c>
      <c r="G558" t="s">
        <v>13</v>
      </c>
      <c r="H558" t="s">
        <v>67</v>
      </c>
      <c r="I558">
        <v>219.9</v>
      </c>
      <c r="J558">
        <f>Tabela1[[#This Row],[Valor Total]]/Tabela1[[#This Row],[Quantidade]]</f>
        <v>219.9</v>
      </c>
      <c r="K558" t="str">
        <f>TEXT(Tabela1[[#This Row],[Data]],"aaaa-mm")</f>
        <v>2024-09</v>
      </c>
    </row>
    <row r="559" spans="1:11">
      <c r="A559" s="1">
        <v>45538</v>
      </c>
      <c r="B559" t="s">
        <v>72</v>
      </c>
      <c r="C559" t="s">
        <v>4</v>
      </c>
      <c r="D559" t="s">
        <v>65</v>
      </c>
      <c r="E559">
        <v>1</v>
      </c>
      <c r="F559">
        <v>486.95</v>
      </c>
      <c r="G559" t="s">
        <v>12</v>
      </c>
      <c r="H559" t="s">
        <v>63</v>
      </c>
      <c r="I559">
        <v>486.95</v>
      </c>
      <c r="J559">
        <f>Tabela1[[#This Row],[Valor Total]]/Tabela1[[#This Row],[Quantidade]]</f>
        <v>486.95</v>
      </c>
      <c r="K559" t="str">
        <f>TEXT(Tabela1[[#This Row],[Data]],"aaaa-mm")</f>
        <v>2024-09</v>
      </c>
    </row>
    <row r="560" spans="1:11">
      <c r="A560" s="1">
        <v>45539</v>
      </c>
      <c r="B560" t="s">
        <v>68</v>
      </c>
      <c r="C560" t="s">
        <v>4</v>
      </c>
      <c r="D560" t="s">
        <v>73</v>
      </c>
      <c r="E560">
        <v>7</v>
      </c>
      <c r="F560">
        <v>290.08</v>
      </c>
      <c r="G560" t="s">
        <v>15</v>
      </c>
      <c r="H560" t="s">
        <v>64</v>
      </c>
      <c r="I560">
        <v>2030.56</v>
      </c>
      <c r="J560">
        <f>Tabela1[[#This Row],[Valor Total]]/Tabela1[[#This Row],[Quantidade]]</f>
        <v>290.08</v>
      </c>
      <c r="K560" t="str">
        <f>TEXT(Tabela1[[#This Row],[Data]],"aaaa-mm")</f>
        <v>2024-09</v>
      </c>
    </row>
    <row r="561" spans="1:11">
      <c r="A561" s="1">
        <v>45540</v>
      </c>
      <c r="B561" t="s">
        <v>68</v>
      </c>
      <c r="C561" t="s">
        <v>5</v>
      </c>
      <c r="D561" t="s">
        <v>62</v>
      </c>
      <c r="E561">
        <v>4</v>
      </c>
      <c r="F561">
        <v>324.18</v>
      </c>
      <c r="G561" t="s">
        <v>13</v>
      </c>
      <c r="H561" t="s">
        <v>71</v>
      </c>
      <c r="I561">
        <v>1296.72</v>
      </c>
      <c r="J561">
        <f>Tabela1[[#This Row],[Valor Total]]/Tabela1[[#This Row],[Quantidade]]</f>
        <v>324.18</v>
      </c>
      <c r="K561" t="str">
        <f>TEXT(Tabela1[[#This Row],[Data]],"aaaa-mm")</f>
        <v>2024-09</v>
      </c>
    </row>
    <row r="562" spans="1:11">
      <c r="A562" s="1">
        <v>45541</v>
      </c>
      <c r="B562" t="s">
        <v>61</v>
      </c>
      <c r="C562" t="s">
        <v>4</v>
      </c>
      <c r="D562" t="s">
        <v>66</v>
      </c>
      <c r="E562">
        <v>8</v>
      </c>
      <c r="F562">
        <v>172.32</v>
      </c>
      <c r="G562" t="s">
        <v>11</v>
      </c>
      <c r="H562" t="s">
        <v>64</v>
      </c>
      <c r="I562">
        <v>1378.56</v>
      </c>
      <c r="J562">
        <f>Tabela1[[#This Row],[Valor Total]]/Tabela1[[#This Row],[Quantidade]]</f>
        <v>172.32</v>
      </c>
      <c r="K562" t="str">
        <f>TEXT(Tabela1[[#This Row],[Data]],"aaaa-mm")</f>
        <v>2024-09</v>
      </c>
    </row>
    <row r="563" spans="1:11">
      <c r="A563" s="1">
        <v>45543</v>
      </c>
      <c r="B563" t="s">
        <v>68</v>
      </c>
      <c r="C563" t="s">
        <v>5</v>
      </c>
      <c r="D563" t="s">
        <v>66</v>
      </c>
      <c r="E563">
        <v>9</v>
      </c>
      <c r="F563">
        <v>159.88</v>
      </c>
      <c r="G563" t="s">
        <v>13</v>
      </c>
      <c r="H563" t="s">
        <v>63</v>
      </c>
      <c r="I563">
        <v>1438.92</v>
      </c>
      <c r="J563">
        <f>Tabela1[[#This Row],[Valor Total]]/Tabela1[[#This Row],[Quantidade]]</f>
        <v>159.88</v>
      </c>
      <c r="K563" t="str">
        <f>TEXT(Tabela1[[#This Row],[Data]],"aaaa-mm")</f>
        <v>2024-09</v>
      </c>
    </row>
    <row r="564" spans="1:11">
      <c r="A564" s="1">
        <v>45544</v>
      </c>
      <c r="B564" t="s">
        <v>74</v>
      </c>
      <c r="C564" t="s">
        <v>7</v>
      </c>
      <c r="D564" t="s">
        <v>62</v>
      </c>
      <c r="E564">
        <v>4</v>
      </c>
      <c r="F564">
        <v>177.23</v>
      </c>
      <c r="G564" t="s">
        <v>15</v>
      </c>
      <c r="H564" t="s">
        <v>63</v>
      </c>
      <c r="I564">
        <v>708.92</v>
      </c>
      <c r="J564">
        <f>Tabela1[[#This Row],[Valor Total]]/Tabela1[[#This Row],[Quantidade]]</f>
        <v>177.23</v>
      </c>
      <c r="K564" t="str">
        <f>TEXT(Tabela1[[#This Row],[Data]],"aaaa-mm")</f>
        <v>2024-09</v>
      </c>
    </row>
    <row r="565" spans="1:11">
      <c r="A565" s="1">
        <v>45545</v>
      </c>
      <c r="B565" t="s">
        <v>68</v>
      </c>
      <c r="C565" t="s">
        <v>6</v>
      </c>
      <c r="D565" t="s">
        <v>73</v>
      </c>
      <c r="E565">
        <v>7</v>
      </c>
      <c r="F565">
        <v>460.5</v>
      </c>
      <c r="G565" t="s">
        <v>14</v>
      </c>
      <c r="H565" t="s">
        <v>63</v>
      </c>
      <c r="I565">
        <v>3223.5</v>
      </c>
      <c r="J565">
        <f>Tabela1[[#This Row],[Valor Total]]/Tabela1[[#This Row],[Quantidade]]</f>
        <v>460.5</v>
      </c>
      <c r="K565" t="str">
        <f>TEXT(Tabela1[[#This Row],[Data]],"aaaa-mm")</f>
        <v>2024-09</v>
      </c>
    </row>
    <row r="566" spans="1:11">
      <c r="A566" s="1">
        <v>45546</v>
      </c>
      <c r="B566" t="s">
        <v>69</v>
      </c>
      <c r="C566" t="s">
        <v>8</v>
      </c>
      <c r="D566" t="s">
        <v>62</v>
      </c>
      <c r="E566">
        <v>5</v>
      </c>
      <c r="F566">
        <v>80.400000000000006</v>
      </c>
      <c r="G566" t="s">
        <v>11</v>
      </c>
      <c r="H566" t="s">
        <v>67</v>
      </c>
      <c r="I566">
        <v>402</v>
      </c>
      <c r="J566">
        <f>Tabela1[[#This Row],[Valor Total]]/Tabela1[[#This Row],[Quantidade]]</f>
        <v>80.400000000000006</v>
      </c>
      <c r="K566" t="str">
        <f>TEXT(Tabela1[[#This Row],[Data]],"aaaa-mm")</f>
        <v>2024-09</v>
      </c>
    </row>
    <row r="567" spans="1:11">
      <c r="A567" s="1">
        <v>45547</v>
      </c>
      <c r="B567" t="s">
        <v>61</v>
      </c>
      <c r="C567" t="s">
        <v>7</v>
      </c>
      <c r="D567" t="s">
        <v>66</v>
      </c>
      <c r="E567">
        <v>8</v>
      </c>
      <c r="F567">
        <v>396.88</v>
      </c>
      <c r="G567" t="s">
        <v>11</v>
      </c>
      <c r="H567" t="s">
        <v>64</v>
      </c>
      <c r="I567">
        <v>3175.04</v>
      </c>
      <c r="J567">
        <f>Tabela1[[#This Row],[Valor Total]]/Tabela1[[#This Row],[Quantidade]]</f>
        <v>396.88</v>
      </c>
      <c r="K567" t="str">
        <f>TEXT(Tabela1[[#This Row],[Data]],"aaaa-mm")</f>
        <v>2024-09</v>
      </c>
    </row>
    <row r="568" spans="1:11">
      <c r="A568" s="1">
        <v>45548</v>
      </c>
      <c r="B568" t="s">
        <v>74</v>
      </c>
      <c r="C568" t="s">
        <v>4</v>
      </c>
      <c r="D568" t="s">
        <v>62</v>
      </c>
      <c r="E568">
        <v>9</v>
      </c>
      <c r="F568">
        <v>217.06</v>
      </c>
      <c r="G568" t="s">
        <v>12</v>
      </c>
      <c r="H568" t="s">
        <v>63</v>
      </c>
      <c r="I568">
        <v>1953.54</v>
      </c>
      <c r="J568">
        <f>Tabela1[[#This Row],[Valor Total]]/Tabela1[[#This Row],[Quantidade]]</f>
        <v>217.06</v>
      </c>
      <c r="K568" t="str">
        <f>TEXT(Tabela1[[#This Row],[Data]],"aaaa-mm")</f>
        <v>2024-09</v>
      </c>
    </row>
    <row r="569" spans="1:11">
      <c r="A569" s="1">
        <v>45549</v>
      </c>
      <c r="B569" t="s">
        <v>61</v>
      </c>
      <c r="C569" t="s">
        <v>6</v>
      </c>
      <c r="D569" t="s">
        <v>62</v>
      </c>
      <c r="E569">
        <v>9</v>
      </c>
      <c r="F569">
        <v>374.64</v>
      </c>
      <c r="G569" t="s">
        <v>15</v>
      </c>
      <c r="H569" t="s">
        <v>71</v>
      </c>
      <c r="I569">
        <v>3371.76</v>
      </c>
      <c r="J569">
        <f>Tabela1[[#This Row],[Valor Total]]/Tabela1[[#This Row],[Quantidade]]</f>
        <v>374.64000000000004</v>
      </c>
      <c r="K569" t="str">
        <f>TEXT(Tabela1[[#This Row],[Data]],"aaaa-mm")</f>
        <v>2024-09</v>
      </c>
    </row>
    <row r="570" spans="1:11">
      <c r="A570" s="1">
        <v>45550</v>
      </c>
      <c r="B570" t="s">
        <v>69</v>
      </c>
      <c r="C570" t="s">
        <v>5</v>
      </c>
      <c r="D570" t="s">
        <v>65</v>
      </c>
      <c r="E570">
        <v>9</v>
      </c>
      <c r="F570">
        <v>27.85</v>
      </c>
      <c r="G570" t="s">
        <v>12</v>
      </c>
      <c r="H570" t="s">
        <v>67</v>
      </c>
      <c r="I570">
        <v>250.65</v>
      </c>
      <c r="J570">
        <f>Tabela1[[#This Row],[Valor Total]]/Tabela1[[#This Row],[Quantidade]]</f>
        <v>27.85</v>
      </c>
      <c r="K570" t="str">
        <f>TEXT(Tabela1[[#This Row],[Data]],"aaaa-mm")</f>
        <v>2024-09</v>
      </c>
    </row>
    <row r="571" spans="1:11">
      <c r="A571" s="1">
        <v>45551</v>
      </c>
      <c r="B571" t="s">
        <v>69</v>
      </c>
      <c r="C571" t="s">
        <v>6</v>
      </c>
      <c r="D571" t="s">
        <v>70</v>
      </c>
      <c r="E571">
        <v>5</v>
      </c>
      <c r="F571">
        <v>284.18</v>
      </c>
      <c r="G571" t="s">
        <v>11</v>
      </c>
      <c r="H571" t="s">
        <v>67</v>
      </c>
      <c r="I571">
        <v>1420.9</v>
      </c>
      <c r="J571">
        <f>Tabela1[[#This Row],[Valor Total]]/Tabela1[[#This Row],[Quantidade]]</f>
        <v>284.18</v>
      </c>
      <c r="K571" t="str">
        <f>TEXT(Tabela1[[#This Row],[Data]],"aaaa-mm")</f>
        <v>2024-09</v>
      </c>
    </row>
    <row r="572" spans="1:11">
      <c r="A572" s="1">
        <v>45552</v>
      </c>
      <c r="B572" t="s">
        <v>69</v>
      </c>
      <c r="C572" t="s">
        <v>6</v>
      </c>
      <c r="D572" t="s">
        <v>62</v>
      </c>
      <c r="E572">
        <v>8</v>
      </c>
      <c r="F572">
        <v>254.37</v>
      </c>
      <c r="G572" t="s">
        <v>15</v>
      </c>
      <c r="H572" t="s">
        <v>71</v>
      </c>
      <c r="I572">
        <v>2034.96</v>
      </c>
      <c r="J572">
        <f>Tabela1[[#This Row],[Valor Total]]/Tabela1[[#This Row],[Quantidade]]</f>
        <v>254.37</v>
      </c>
      <c r="K572" t="str">
        <f>TEXT(Tabela1[[#This Row],[Data]],"aaaa-mm")</f>
        <v>2024-09</v>
      </c>
    </row>
    <row r="573" spans="1:11">
      <c r="A573" s="1">
        <v>45553</v>
      </c>
      <c r="B573" t="s">
        <v>68</v>
      </c>
      <c r="C573" t="s">
        <v>4</v>
      </c>
      <c r="D573" t="s">
        <v>66</v>
      </c>
      <c r="E573">
        <v>3</v>
      </c>
      <c r="F573">
        <v>268.70999999999998</v>
      </c>
      <c r="G573" t="s">
        <v>14</v>
      </c>
      <c r="H573" t="s">
        <v>67</v>
      </c>
      <c r="I573">
        <v>806.12999999999988</v>
      </c>
      <c r="J573">
        <f>Tabela1[[#This Row],[Valor Total]]/Tabela1[[#This Row],[Quantidade]]</f>
        <v>268.70999999999998</v>
      </c>
      <c r="K573" t="str">
        <f>TEXT(Tabela1[[#This Row],[Data]],"aaaa-mm")</f>
        <v>2024-09</v>
      </c>
    </row>
    <row r="574" spans="1:11">
      <c r="A574" s="1">
        <v>45555</v>
      </c>
      <c r="B574" t="s">
        <v>72</v>
      </c>
      <c r="C574" t="s">
        <v>4</v>
      </c>
      <c r="D574" t="s">
        <v>65</v>
      </c>
      <c r="E574">
        <v>3</v>
      </c>
      <c r="F574">
        <v>167.82</v>
      </c>
      <c r="G574" t="s">
        <v>15</v>
      </c>
      <c r="H574" t="s">
        <v>64</v>
      </c>
      <c r="I574">
        <v>503.46</v>
      </c>
      <c r="J574">
        <f>Tabela1[[#This Row],[Valor Total]]/Tabela1[[#This Row],[Quantidade]]</f>
        <v>167.82</v>
      </c>
      <c r="K574" t="str">
        <f>TEXT(Tabela1[[#This Row],[Data]],"aaaa-mm")</f>
        <v>2024-09</v>
      </c>
    </row>
    <row r="575" spans="1:11">
      <c r="A575" s="1">
        <v>45556</v>
      </c>
      <c r="B575" t="s">
        <v>72</v>
      </c>
      <c r="C575" t="s">
        <v>4</v>
      </c>
      <c r="D575" t="s">
        <v>62</v>
      </c>
      <c r="E575">
        <v>8</v>
      </c>
      <c r="F575">
        <v>170.08</v>
      </c>
      <c r="G575" t="s">
        <v>11</v>
      </c>
      <c r="H575" t="s">
        <v>67</v>
      </c>
      <c r="I575">
        <v>1360.64</v>
      </c>
      <c r="J575">
        <f>Tabela1[[#This Row],[Valor Total]]/Tabela1[[#This Row],[Quantidade]]</f>
        <v>170.08</v>
      </c>
      <c r="K575" t="str">
        <f>TEXT(Tabela1[[#This Row],[Data]],"aaaa-mm")</f>
        <v>2024-09</v>
      </c>
    </row>
    <row r="576" spans="1:11">
      <c r="A576" s="1">
        <v>45557</v>
      </c>
      <c r="B576" t="s">
        <v>74</v>
      </c>
      <c r="C576" t="s">
        <v>7</v>
      </c>
      <c r="D576" t="s">
        <v>66</v>
      </c>
      <c r="E576">
        <v>5</v>
      </c>
      <c r="F576">
        <v>386.42</v>
      </c>
      <c r="G576" t="s">
        <v>15</v>
      </c>
      <c r="H576" t="s">
        <v>63</v>
      </c>
      <c r="I576">
        <v>1932.1</v>
      </c>
      <c r="J576">
        <f>Tabela1[[#This Row],[Valor Total]]/Tabela1[[#This Row],[Quantidade]]</f>
        <v>386.41999999999996</v>
      </c>
      <c r="K576" t="str">
        <f>TEXT(Tabela1[[#This Row],[Data]],"aaaa-mm")</f>
        <v>2024-09</v>
      </c>
    </row>
    <row r="577" spans="1:11">
      <c r="A577" s="1">
        <v>45558</v>
      </c>
      <c r="B577" t="s">
        <v>74</v>
      </c>
      <c r="C577" t="s">
        <v>7</v>
      </c>
      <c r="D577" t="s">
        <v>66</v>
      </c>
      <c r="E577">
        <v>5</v>
      </c>
      <c r="F577">
        <v>24.58</v>
      </c>
      <c r="G577" t="s">
        <v>12</v>
      </c>
      <c r="H577" t="s">
        <v>64</v>
      </c>
      <c r="I577">
        <v>122.9</v>
      </c>
      <c r="J577">
        <f>Tabela1[[#This Row],[Valor Total]]/Tabela1[[#This Row],[Quantidade]]</f>
        <v>24.580000000000002</v>
      </c>
      <c r="K577" t="str">
        <f>TEXT(Tabela1[[#This Row],[Data]],"aaaa-mm")</f>
        <v>2024-09</v>
      </c>
    </row>
    <row r="578" spans="1:11">
      <c r="A578" s="1">
        <v>45559</v>
      </c>
      <c r="B578" t="s">
        <v>68</v>
      </c>
      <c r="C578" t="s">
        <v>4</v>
      </c>
      <c r="D578" t="s">
        <v>65</v>
      </c>
      <c r="E578">
        <v>1</v>
      </c>
      <c r="F578">
        <v>27.8</v>
      </c>
      <c r="G578" t="s">
        <v>13</v>
      </c>
      <c r="H578" t="s">
        <v>71</v>
      </c>
      <c r="I578">
        <v>27.8</v>
      </c>
      <c r="J578">
        <f>Tabela1[[#This Row],[Valor Total]]/Tabela1[[#This Row],[Quantidade]]</f>
        <v>27.8</v>
      </c>
      <c r="K578" t="str">
        <f>TEXT(Tabela1[[#This Row],[Data]],"aaaa-mm")</f>
        <v>2024-09</v>
      </c>
    </row>
    <row r="579" spans="1:11">
      <c r="A579" s="1">
        <v>45560</v>
      </c>
      <c r="B579" t="s">
        <v>74</v>
      </c>
      <c r="C579" t="s">
        <v>6</v>
      </c>
      <c r="D579" t="s">
        <v>66</v>
      </c>
      <c r="E579">
        <v>3</v>
      </c>
      <c r="F579">
        <v>328.57</v>
      </c>
      <c r="G579" t="s">
        <v>14</v>
      </c>
      <c r="H579" t="s">
        <v>63</v>
      </c>
      <c r="I579">
        <v>985.71</v>
      </c>
      <c r="J579">
        <f>Tabela1[[#This Row],[Valor Total]]/Tabela1[[#This Row],[Quantidade]]</f>
        <v>328.57</v>
      </c>
      <c r="K579" t="str">
        <f>TEXT(Tabela1[[#This Row],[Data]],"aaaa-mm")</f>
        <v>2024-09</v>
      </c>
    </row>
    <row r="580" spans="1:11">
      <c r="A580" s="1">
        <v>45561</v>
      </c>
      <c r="B580" t="s">
        <v>72</v>
      </c>
      <c r="C580" t="s">
        <v>5</v>
      </c>
      <c r="D580" t="s">
        <v>73</v>
      </c>
      <c r="E580">
        <v>7</v>
      </c>
      <c r="F580">
        <v>161.51</v>
      </c>
      <c r="G580" t="s">
        <v>15</v>
      </c>
      <c r="H580" t="s">
        <v>64</v>
      </c>
      <c r="I580">
        <v>1130.57</v>
      </c>
      <c r="J580">
        <f>Tabela1[[#This Row],[Valor Total]]/Tabela1[[#This Row],[Quantidade]]</f>
        <v>161.51</v>
      </c>
      <c r="K580" t="str">
        <f>TEXT(Tabela1[[#This Row],[Data]],"aaaa-mm")</f>
        <v>2024-09</v>
      </c>
    </row>
    <row r="581" spans="1:11">
      <c r="A581" s="1">
        <v>45562</v>
      </c>
      <c r="B581" t="s">
        <v>74</v>
      </c>
      <c r="C581" t="s">
        <v>7</v>
      </c>
      <c r="D581" t="s">
        <v>62</v>
      </c>
      <c r="E581">
        <v>7</v>
      </c>
      <c r="F581">
        <v>88.72</v>
      </c>
      <c r="G581" t="s">
        <v>13</v>
      </c>
      <c r="H581" t="s">
        <v>64</v>
      </c>
      <c r="I581">
        <v>621.04</v>
      </c>
      <c r="J581">
        <f>Tabela1[[#This Row],[Valor Total]]/Tabela1[[#This Row],[Quantidade]]</f>
        <v>88.72</v>
      </c>
      <c r="K581" t="str">
        <f>TEXT(Tabela1[[#This Row],[Data]],"aaaa-mm")</f>
        <v>2024-09</v>
      </c>
    </row>
    <row r="582" spans="1:11">
      <c r="A582" s="1">
        <v>45563</v>
      </c>
      <c r="B582" t="s">
        <v>72</v>
      </c>
      <c r="C582" t="s">
        <v>6</v>
      </c>
      <c r="D582" t="s">
        <v>62</v>
      </c>
      <c r="E582">
        <v>8</v>
      </c>
      <c r="F582">
        <v>68.319999999999993</v>
      </c>
      <c r="G582" t="s">
        <v>14</v>
      </c>
      <c r="H582" t="s">
        <v>64</v>
      </c>
      <c r="I582">
        <v>546.55999999999995</v>
      </c>
      <c r="J582">
        <f>Tabela1[[#This Row],[Valor Total]]/Tabela1[[#This Row],[Quantidade]]</f>
        <v>68.319999999999993</v>
      </c>
      <c r="K582" t="str">
        <f>TEXT(Tabela1[[#This Row],[Data]],"aaaa-mm")</f>
        <v>2024-09</v>
      </c>
    </row>
    <row r="583" spans="1:11">
      <c r="A583" s="1">
        <v>45564</v>
      </c>
      <c r="B583" t="s">
        <v>72</v>
      </c>
      <c r="C583" t="s">
        <v>4</v>
      </c>
      <c r="D583" t="s">
        <v>65</v>
      </c>
      <c r="E583">
        <v>5</v>
      </c>
      <c r="F583">
        <v>188.28</v>
      </c>
      <c r="G583" t="s">
        <v>13</v>
      </c>
      <c r="H583" t="s">
        <v>67</v>
      </c>
      <c r="I583">
        <v>941.4</v>
      </c>
      <c r="J583">
        <f>Tabela1[[#This Row],[Valor Total]]/Tabela1[[#This Row],[Quantidade]]</f>
        <v>188.28</v>
      </c>
      <c r="K583" t="str">
        <f>TEXT(Tabela1[[#This Row],[Data]],"aaaa-mm")</f>
        <v>2024-09</v>
      </c>
    </row>
    <row r="584" spans="1:11">
      <c r="A584" s="1">
        <v>45566</v>
      </c>
      <c r="B584" t="s">
        <v>61</v>
      </c>
      <c r="C584" t="s">
        <v>8</v>
      </c>
      <c r="D584" t="s">
        <v>66</v>
      </c>
      <c r="E584">
        <v>5</v>
      </c>
      <c r="F584">
        <v>69.31</v>
      </c>
      <c r="G584" t="s">
        <v>15</v>
      </c>
      <c r="H584" t="s">
        <v>67</v>
      </c>
      <c r="I584">
        <v>346.55</v>
      </c>
      <c r="J584">
        <f>Tabela1[[#This Row],[Valor Total]]/Tabela1[[#This Row],[Quantidade]]</f>
        <v>69.31</v>
      </c>
      <c r="K584" t="str">
        <f>TEXT(Tabela1[[#This Row],[Data]],"aaaa-mm")</f>
        <v>2024-10</v>
      </c>
    </row>
    <row r="585" spans="1:11">
      <c r="A585" s="1">
        <v>45567</v>
      </c>
      <c r="B585" t="s">
        <v>74</v>
      </c>
      <c r="C585" t="s">
        <v>6</v>
      </c>
      <c r="D585" t="s">
        <v>65</v>
      </c>
      <c r="E585">
        <v>5</v>
      </c>
      <c r="F585">
        <v>47.16</v>
      </c>
      <c r="G585" t="s">
        <v>11</v>
      </c>
      <c r="H585" t="s">
        <v>71</v>
      </c>
      <c r="I585">
        <v>235.8</v>
      </c>
      <c r="J585">
        <f>Tabela1[[#This Row],[Valor Total]]/Tabela1[[#This Row],[Quantidade]]</f>
        <v>47.160000000000004</v>
      </c>
      <c r="K585" t="str">
        <f>TEXT(Tabela1[[#This Row],[Data]],"aaaa-mm")</f>
        <v>2024-10</v>
      </c>
    </row>
    <row r="586" spans="1:11">
      <c r="A586" s="1">
        <v>45568</v>
      </c>
      <c r="B586" t="s">
        <v>61</v>
      </c>
      <c r="C586" t="s">
        <v>7</v>
      </c>
      <c r="D586" t="s">
        <v>66</v>
      </c>
      <c r="E586">
        <v>8</v>
      </c>
      <c r="F586">
        <v>72.95</v>
      </c>
      <c r="G586" t="s">
        <v>15</v>
      </c>
      <c r="H586" t="s">
        <v>63</v>
      </c>
      <c r="I586">
        <v>583.6</v>
      </c>
      <c r="J586">
        <f>Tabela1[[#This Row],[Valor Total]]/Tabela1[[#This Row],[Quantidade]]</f>
        <v>72.95</v>
      </c>
      <c r="K586" t="str">
        <f>TEXT(Tabela1[[#This Row],[Data]],"aaaa-mm")</f>
        <v>2024-10</v>
      </c>
    </row>
    <row r="587" spans="1:11">
      <c r="A587" s="1">
        <v>45569</v>
      </c>
      <c r="B587" t="s">
        <v>68</v>
      </c>
      <c r="C587" t="s">
        <v>7</v>
      </c>
      <c r="D587" t="s">
        <v>65</v>
      </c>
      <c r="E587">
        <v>6</v>
      </c>
      <c r="F587">
        <v>362.67</v>
      </c>
      <c r="G587" t="s">
        <v>15</v>
      </c>
      <c r="H587" t="s">
        <v>71</v>
      </c>
      <c r="I587">
        <v>2176.02</v>
      </c>
      <c r="J587">
        <f>Tabela1[[#This Row],[Valor Total]]/Tabela1[[#This Row],[Quantidade]]</f>
        <v>362.67</v>
      </c>
      <c r="K587" t="str">
        <f>TEXT(Tabela1[[#This Row],[Data]],"aaaa-mm")</f>
        <v>2024-10</v>
      </c>
    </row>
    <row r="588" spans="1:11">
      <c r="A588" s="1">
        <v>45570</v>
      </c>
      <c r="B588" t="s">
        <v>72</v>
      </c>
      <c r="C588" t="s">
        <v>4</v>
      </c>
      <c r="D588" t="s">
        <v>65</v>
      </c>
      <c r="E588">
        <v>8</v>
      </c>
      <c r="F588">
        <v>413.07</v>
      </c>
      <c r="G588" t="s">
        <v>13</v>
      </c>
      <c r="H588" t="s">
        <v>64</v>
      </c>
      <c r="I588">
        <v>3304.56</v>
      </c>
      <c r="J588">
        <f>Tabela1[[#This Row],[Valor Total]]/Tabela1[[#This Row],[Quantidade]]</f>
        <v>413.07</v>
      </c>
      <c r="K588" t="str">
        <f>TEXT(Tabela1[[#This Row],[Data]],"aaaa-mm")</f>
        <v>2024-10</v>
      </c>
    </row>
    <row r="589" spans="1:11">
      <c r="A589" s="1">
        <v>45571</v>
      </c>
      <c r="B589" t="s">
        <v>61</v>
      </c>
      <c r="C589" t="s">
        <v>8</v>
      </c>
      <c r="D589" t="s">
        <v>65</v>
      </c>
      <c r="E589">
        <v>3</v>
      </c>
      <c r="F589">
        <v>205.49</v>
      </c>
      <c r="G589" t="s">
        <v>11</v>
      </c>
      <c r="H589" t="s">
        <v>71</v>
      </c>
      <c r="I589">
        <v>616.47</v>
      </c>
      <c r="J589">
        <f>Tabela1[[#This Row],[Valor Total]]/Tabela1[[#This Row],[Quantidade]]</f>
        <v>205.49</v>
      </c>
      <c r="K589" t="str">
        <f>TEXT(Tabela1[[#This Row],[Data]],"aaaa-mm")</f>
        <v>2024-10</v>
      </c>
    </row>
    <row r="590" spans="1:11">
      <c r="A590" s="1">
        <v>45572</v>
      </c>
      <c r="B590" t="s">
        <v>61</v>
      </c>
      <c r="C590" t="s">
        <v>8</v>
      </c>
      <c r="D590" t="s">
        <v>73</v>
      </c>
      <c r="E590">
        <v>5</v>
      </c>
      <c r="F590">
        <v>271.20999999999998</v>
      </c>
      <c r="G590" t="s">
        <v>15</v>
      </c>
      <c r="H590" t="s">
        <v>63</v>
      </c>
      <c r="I590">
        <v>1356.05</v>
      </c>
      <c r="J590">
        <f>Tabela1[[#This Row],[Valor Total]]/Tabela1[[#This Row],[Quantidade]]</f>
        <v>271.20999999999998</v>
      </c>
      <c r="K590" t="str">
        <f>TEXT(Tabela1[[#This Row],[Data]],"aaaa-mm")</f>
        <v>2024-10</v>
      </c>
    </row>
    <row r="591" spans="1:11">
      <c r="A591" s="1">
        <v>45573</v>
      </c>
      <c r="B591" t="s">
        <v>61</v>
      </c>
      <c r="C591" t="s">
        <v>7</v>
      </c>
      <c r="D591" t="s">
        <v>62</v>
      </c>
      <c r="E591">
        <v>9</v>
      </c>
      <c r="F591">
        <v>237.65</v>
      </c>
      <c r="G591" t="s">
        <v>15</v>
      </c>
      <c r="H591" t="s">
        <v>63</v>
      </c>
      <c r="I591">
        <v>2138.85</v>
      </c>
      <c r="J591">
        <f>Tabela1[[#This Row],[Valor Total]]/Tabela1[[#This Row],[Quantidade]]</f>
        <v>237.64999999999998</v>
      </c>
      <c r="K591" t="str">
        <f>TEXT(Tabela1[[#This Row],[Data]],"aaaa-mm")</f>
        <v>2024-10</v>
      </c>
    </row>
    <row r="592" spans="1:11">
      <c r="A592" s="1">
        <v>45574</v>
      </c>
      <c r="B592" t="s">
        <v>74</v>
      </c>
      <c r="C592" t="s">
        <v>8</v>
      </c>
      <c r="D592" t="s">
        <v>66</v>
      </c>
      <c r="E592">
        <v>3</v>
      </c>
      <c r="F592">
        <v>350.16</v>
      </c>
      <c r="G592" t="s">
        <v>12</v>
      </c>
      <c r="H592" t="s">
        <v>63</v>
      </c>
      <c r="I592">
        <v>1050.48</v>
      </c>
      <c r="J592">
        <f>Tabela1[[#This Row],[Valor Total]]/Tabela1[[#This Row],[Quantidade]]</f>
        <v>350.16</v>
      </c>
      <c r="K592" t="str">
        <f>TEXT(Tabela1[[#This Row],[Data]],"aaaa-mm")</f>
        <v>2024-10</v>
      </c>
    </row>
    <row r="593" spans="1:11">
      <c r="A593" s="1">
        <v>45575</v>
      </c>
      <c r="B593" t="s">
        <v>72</v>
      </c>
      <c r="C593" t="s">
        <v>7</v>
      </c>
      <c r="D593" t="s">
        <v>66</v>
      </c>
      <c r="E593">
        <v>3</v>
      </c>
      <c r="F593">
        <v>497.77</v>
      </c>
      <c r="G593" t="s">
        <v>15</v>
      </c>
      <c r="H593" t="s">
        <v>63</v>
      </c>
      <c r="I593">
        <v>1493.31</v>
      </c>
      <c r="J593">
        <f>Tabela1[[#This Row],[Valor Total]]/Tabela1[[#This Row],[Quantidade]]</f>
        <v>497.77</v>
      </c>
      <c r="K593" t="str">
        <f>TEXT(Tabela1[[#This Row],[Data]],"aaaa-mm")</f>
        <v>2024-10</v>
      </c>
    </row>
    <row r="594" spans="1:11">
      <c r="A594" s="1">
        <v>45576</v>
      </c>
      <c r="B594" t="s">
        <v>74</v>
      </c>
      <c r="C594" t="s">
        <v>4</v>
      </c>
      <c r="D594" t="s">
        <v>62</v>
      </c>
      <c r="E594">
        <v>3</v>
      </c>
      <c r="F594">
        <v>96.27</v>
      </c>
      <c r="G594" t="s">
        <v>15</v>
      </c>
      <c r="H594" t="s">
        <v>63</v>
      </c>
      <c r="I594">
        <v>288.81</v>
      </c>
      <c r="J594">
        <f>Tabela1[[#This Row],[Valor Total]]/Tabela1[[#This Row],[Quantidade]]</f>
        <v>96.27</v>
      </c>
      <c r="K594" t="str">
        <f>TEXT(Tabela1[[#This Row],[Data]],"aaaa-mm")</f>
        <v>2024-10</v>
      </c>
    </row>
    <row r="595" spans="1:11">
      <c r="A595" s="1">
        <v>45578</v>
      </c>
      <c r="B595" t="s">
        <v>74</v>
      </c>
      <c r="C595" t="s">
        <v>5</v>
      </c>
      <c r="D595" t="s">
        <v>66</v>
      </c>
      <c r="E595">
        <v>9</v>
      </c>
      <c r="F595">
        <v>83.29</v>
      </c>
      <c r="G595" t="s">
        <v>14</v>
      </c>
      <c r="H595" t="s">
        <v>71</v>
      </c>
      <c r="I595">
        <v>749.61</v>
      </c>
      <c r="J595">
        <f>Tabela1[[#This Row],[Valor Total]]/Tabela1[[#This Row],[Quantidade]]</f>
        <v>83.29</v>
      </c>
      <c r="K595" t="str">
        <f>TEXT(Tabela1[[#This Row],[Data]],"aaaa-mm")</f>
        <v>2024-10</v>
      </c>
    </row>
    <row r="596" spans="1:11">
      <c r="A596" s="1">
        <v>45579</v>
      </c>
      <c r="B596" t="s">
        <v>68</v>
      </c>
      <c r="C596" t="s">
        <v>5</v>
      </c>
      <c r="D596" t="s">
        <v>70</v>
      </c>
      <c r="E596">
        <v>1</v>
      </c>
      <c r="F596">
        <v>103.58</v>
      </c>
      <c r="G596" t="s">
        <v>12</v>
      </c>
      <c r="H596" t="s">
        <v>67</v>
      </c>
      <c r="I596">
        <v>103.58</v>
      </c>
      <c r="J596">
        <f>Tabela1[[#This Row],[Valor Total]]/Tabela1[[#This Row],[Quantidade]]</f>
        <v>103.58</v>
      </c>
      <c r="K596" t="str">
        <f>TEXT(Tabela1[[#This Row],[Data]],"aaaa-mm")</f>
        <v>2024-10</v>
      </c>
    </row>
    <row r="597" spans="1:11">
      <c r="A597" s="1">
        <v>45580</v>
      </c>
      <c r="B597" t="s">
        <v>74</v>
      </c>
      <c r="C597" t="s">
        <v>8</v>
      </c>
      <c r="D597" t="s">
        <v>65</v>
      </c>
      <c r="E597">
        <v>7</v>
      </c>
      <c r="F597">
        <v>401.61</v>
      </c>
      <c r="G597" t="s">
        <v>12</v>
      </c>
      <c r="H597" t="s">
        <v>64</v>
      </c>
      <c r="I597">
        <v>2811.27</v>
      </c>
      <c r="J597">
        <f>Tabela1[[#This Row],[Valor Total]]/Tabela1[[#This Row],[Quantidade]]</f>
        <v>401.61</v>
      </c>
      <c r="K597" t="str">
        <f>TEXT(Tabela1[[#This Row],[Data]],"aaaa-mm")</f>
        <v>2024-10</v>
      </c>
    </row>
    <row r="598" spans="1:11">
      <c r="A598" s="1">
        <v>45581</v>
      </c>
      <c r="B598" t="s">
        <v>68</v>
      </c>
      <c r="C598" t="s">
        <v>8</v>
      </c>
      <c r="D598" t="s">
        <v>66</v>
      </c>
      <c r="E598">
        <v>2</v>
      </c>
      <c r="F598">
        <v>285.06</v>
      </c>
      <c r="G598" t="s">
        <v>14</v>
      </c>
      <c r="H598" t="s">
        <v>67</v>
      </c>
      <c r="I598">
        <v>570.12</v>
      </c>
      <c r="J598">
        <f>Tabela1[[#This Row],[Valor Total]]/Tabela1[[#This Row],[Quantidade]]</f>
        <v>285.06</v>
      </c>
      <c r="K598" t="str">
        <f>TEXT(Tabela1[[#This Row],[Data]],"aaaa-mm")</f>
        <v>2024-10</v>
      </c>
    </row>
    <row r="599" spans="1:11">
      <c r="A599" s="1">
        <v>45582</v>
      </c>
      <c r="B599" t="s">
        <v>68</v>
      </c>
      <c r="C599" t="s">
        <v>4</v>
      </c>
      <c r="D599" t="s">
        <v>70</v>
      </c>
      <c r="E599">
        <v>7</v>
      </c>
      <c r="F599">
        <v>216.73</v>
      </c>
      <c r="G599" t="s">
        <v>13</v>
      </c>
      <c r="H599" t="s">
        <v>67</v>
      </c>
      <c r="I599">
        <v>1517.11</v>
      </c>
      <c r="J599">
        <f>Tabela1[[#This Row],[Valor Total]]/Tabela1[[#This Row],[Quantidade]]</f>
        <v>216.73</v>
      </c>
      <c r="K599" t="str">
        <f>TEXT(Tabela1[[#This Row],[Data]],"aaaa-mm")</f>
        <v>2024-10</v>
      </c>
    </row>
    <row r="600" spans="1:11">
      <c r="A600" s="1">
        <v>45583</v>
      </c>
      <c r="B600" t="s">
        <v>72</v>
      </c>
      <c r="C600" t="s">
        <v>4</v>
      </c>
      <c r="D600" t="s">
        <v>65</v>
      </c>
      <c r="E600">
        <v>7</v>
      </c>
      <c r="F600">
        <v>488.15</v>
      </c>
      <c r="G600" t="s">
        <v>12</v>
      </c>
      <c r="H600" t="s">
        <v>71</v>
      </c>
      <c r="I600">
        <v>3417.05</v>
      </c>
      <c r="J600">
        <f>Tabela1[[#This Row],[Valor Total]]/Tabela1[[#This Row],[Quantidade]]</f>
        <v>488.15000000000003</v>
      </c>
      <c r="K600" t="str">
        <f>TEXT(Tabela1[[#This Row],[Data]],"aaaa-mm")</f>
        <v>2024-10</v>
      </c>
    </row>
    <row r="601" spans="1:11">
      <c r="A601" s="1">
        <v>45584</v>
      </c>
      <c r="B601" t="s">
        <v>68</v>
      </c>
      <c r="C601" t="s">
        <v>8</v>
      </c>
      <c r="D601" t="s">
        <v>66</v>
      </c>
      <c r="E601">
        <v>5</v>
      </c>
      <c r="F601">
        <v>343.73</v>
      </c>
      <c r="G601" t="s">
        <v>12</v>
      </c>
      <c r="H601" t="s">
        <v>67</v>
      </c>
      <c r="I601">
        <v>1718.65</v>
      </c>
      <c r="J601">
        <f>Tabela1[[#This Row],[Valor Total]]/Tabela1[[#This Row],[Quantidade]]</f>
        <v>343.73</v>
      </c>
      <c r="K601" t="str">
        <f>TEXT(Tabela1[[#This Row],[Data]],"aaaa-mm")</f>
        <v>2024-10</v>
      </c>
    </row>
    <row r="602" spans="1:11">
      <c r="A602" s="1">
        <v>45585</v>
      </c>
      <c r="B602" t="s">
        <v>74</v>
      </c>
      <c r="C602" t="s">
        <v>8</v>
      </c>
      <c r="D602" t="s">
        <v>66</v>
      </c>
      <c r="E602">
        <v>1</v>
      </c>
      <c r="F602">
        <v>409.77</v>
      </c>
      <c r="G602" t="s">
        <v>11</v>
      </c>
      <c r="H602" t="s">
        <v>71</v>
      </c>
      <c r="I602">
        <v>409.77</v>
      </c>
      <c r="J602">
        <f>Tabela1[[#This Row],[Valor Total]]/Tabela1[[#This Row],[Quantidade]]</f>
        <v>409.77</v>
      </c>
      <c r="K602" t="str">
        <f>TEXT(Tabela1[[#This Row],[Data]],"aaaa-mm")</f>
        <v>2024-10</v>
      </c>
    </row>
    <row r="603" spans="1:11">
      <c r="A603" s="1">
        <v>45586</v>
      </c>
      <c r="B603" t="s">
        <v>69</v>
      </c>
      <c r="C603" t="s">
        <v>5</v>
      </c>
      <c r="D603" t="s">
        <v>73</v>
      </c>
      <c r="E603">
        <v>1</v>
      </c>
      <c r="F603">
        <v>121.97</v>
      </c>
      <c r="G603" t="s">
        <v>14</v>
      </c>
      <c r="H603" t="s">
        <v>67</v>
      </c>
      <c r="I603">
        <v>121.97</v>
      </c>
      <c r="J603">
        <f>Tabela1[[#This Row],[Valor Total]]/Tabela1[[#This Row],[Quantidade]]</f>
        <v>121.97</v>
      </c>
      <c r="K603" t="str">
        <f>TEXT(Tabela1[[#This Row],[Data]],"aaaa-mm")</f>
        <v>2024-10</v>
      </c>
    </row>
    <row r="604" spans="1:11">
      <c r="A604" s="1">
        <v>45587</v>
      </c>
      <c r="B604" t="s">
        <v>61</v>
      </c>
      <c r="C604" t="s">
        <v>7</v>
      </c>
      <c r="D604" t="s">
        <v>73</v>
      </c>
      <c r="E604">
        <v>6</v>
      </c>
      <c r="F604">
        <v>316.39999999999998</v>
      </c>
      <c r="G604" t="s">
        <v>13</v>
      </c>
      <c r="H604" t="s">
        <v>67</v>
      </c>
      <c r="I604">
        <v>1898.4</v>
      </c>
      <c r="J604">
        <f>Tabela1[[#This Row],[Valor Total]]/Tabela1[[#This Row],[Quantidade]]</f>
        <v>316.40000000000003</v>
      </c>
      <c r="K604" t="str">
        <f>TEXT(Tabela1[[#This Row],[Data]],"aaaa-mm")</f>
        <v>2024-10</v>
      </c>
    </row>
    <row r="605" spans="1:11">
      <c r="A605" s="1">
        <v>45589</v>
      </c>
      <c r="B605" t="s">
        <v>72</v>
      </c>
      <c r="C605" t="s">
        <v>7</v>
      </c>
      <c r="D605" t="s">
        <v>65</v>
      </c>
      <c r="E605">
        <v>7</v>
      </c>
      <c r="F605">
        <v>239.23</v>
      </c>
      <c r="G605" t="s">
        <v>12</v>
      </c>
      <c r="H605" t="s">
        <v>67</v>
      </c>
      <c r="I605">
        <v>1674.61</v>
      </c>
      <c r="J605">
        <f>Tabela1[[#This Row],[Valor Total]]/Tabela1[[#This Row],[Quantidade]]</f>
        <v>239.23</v>
      </c>
      <c r="K605" t="str">
        <f>TEXT(Tabela1[[#This Row],[Data]],"aaaa-mm")</f>
        <v>2024-10</v>
      </c>
    </row>
    <row r="606" spans="1:11">
      <c r="A606" s="1">
        <v>45590</v>
      </c>
      <c r="B606" t="s">
        <v>69</v>
      </c>
      <c r="C606" t="s">
        <v>4</v>
      </c>
      <c r="D606" t="s">
        <v>66</v>
      </c>
      <c r="E606">
        <v>6</v>
      </c>
      <c r="F606">
        <v>403.97</v>
      </c>
      <c r="G606" t="s">
        <v>11</v>
      </c>
      <c r="H606" t="s">
        <v>67</v>
      </c>
      <c r="I606">
        <v>2423.8200000000002</v>
      </c>
      <c r="J606">
        <f>Tabela1[[#This Row],[Valor Total]]/Tabela1[[#This Row],[Quantidade]]</f>
        <v>403.97</v>
      </c>
      <c r="K606" t="str">
        <f>TEXT(Tabela1[[#This Row],[Data]],"aaaa-mm")</f>
        <v>2024-10</v>
      </c>
    </row>
    <row r="607" spans="1:11">
      <c r="A607" s="1">
        <v>45591</v>
      </c>
      <c r="B607" t="s">
        <v>74</v>
      </c>
      <c r="C607" t="s">
        <v>8</v>
      </c>
      <c r="D607" t="s">
        <v>73</v>
      </c>
      <c r="E607">
        <v>6</v>
      </c>
      <c r="F607">
        <v>140.93</v>
      </c>
      <c r="G607" t="s">
        <v>11</v>
      </c>
      <c r="H607" t="s">
        <v>64</v>
      </c>
      <c r="I607">
        <v>845.58</v>
      </c>
      <c r="J607">
        <f>Tabela1[[#This Row],[Valor Total]]/Tabela1[[#This Row],[Quantidade]]</f>
        <v>140.93</v>
      </c>
      <c r="K607" t="str">
        <f>TEXT(Tabela1[[#This Row],[Data]],"aaaa-mm")</f>
        <v>2024-10</v>
      </c>
    </row>
    <row r="608" spans="1:11">
      <c r="A608" s="1">
        <v>45592</v>
      </c>
      <c r="B608" t="s">
        <v>72</v>
      </c>
      <c r="C608" t="s">
        <v>8</v>
      </c>
      <c r="D608" t="s">
        <v>70</v>
      </c>
      <c r="E608">
        <v>5</v>
      </c>
      <c r="F608">
        <v>184.74</v>
      </c>
      <c r="G608" t="s">
        <v>14</v>
      </c>
      <c r="H608" t="s">
        <v>64</v>
      </c>
      <c r="I608">
        <v>923.7</v>
      </c>
      <c r="J608">
        <f>Tabela1[[#This Row],[Valor Total]]/Tabela1[[#This Row],[Quantidade]]</f>
        <v>184.74</v>
      </c>
      <c r="K608" t="str">
        <f>TEXT(Tabela1[[#This Row],[Data]],"aaaa-mm")</f>
        <v>2024-10</v>
      </c>
    </row>
    <row r="609" spans="1:11">
      <c r="A609" s="1">
        <v>45593</v>
      </c>
      <c r="B609" t="s">
        <v>74</v>
      </c>
      <c r="C609" t="s">
        <v>7</v>
      </c>
      <c r="D609" t="s">
        <v>70</v>
      </c>
      <c r="E609">
        <v>8</v>
      </c>
      <c r="F609">
        <v>270.02</v>
      </c>
      <c r="G609" t="s">
        <v>13</v>
      </c>
      <c r="H609" t="s">
        <v>71</v>
      </c>
      <c r="I609">
        <v>2160.16</v>
      </c>
      <c r="J609">
        <f>Tabela1[[#This Row],[Valor Total]]/Tabela1[[#This Row],[Quantidade]]</f>
        <v>270.02</v>
      </c>
      <c r="K609" t="str">
        <f>TEXT(Tabela1[[#This Row],[Data]],"aaaa-mm")</f>
        <v>2024-10</v>
      </c>
    </row>
    <row r="610" spans="1:11">
      <c r="A610" s="1">
        <v>45594</v>
      </c>
      <c r="B610" t="s">
        <v>74</v>
      </c>
      <c r="C610" t="s">
        <v>8</v>
      </c>
      <c r="D610" t="s">
        <v>73</v>
      </c>
      <c r="E610">
        <v>1</v>
      </c>
      <c r="F610">
        <v>141.56</v>
      </c>
      <c r="G610" t="s">
        <v>12</v>
      </c>
      <c r="H610" t="s">
        <v>71</v>
      </c>
      <c r="I610">
        <v>141.56</v>
      </c>
      <c r="J610">
        <f>Tabela1[[#This Row],[Valor Total]]/Tabela1[[#This Row],[Quantidade]]</f>
        <v>141.56</v>
      </c>
      <c r="K610" t="str">
        <f>TEXT(Tabela1[[#This Row],[Data]],"aaaa-mm")</f>
        <v>2024-10</v>
      </c>
    </row>
    <row r="611" spans="1:11">
      <c r="A611" s="1">
        <v>45595</v>
      </c>
      <c r="B611" t="s">
        <v>72</v>
      </c>
      <c r="C611" t="s">
        <v>4</v>
      </c>
      <c r="D611" t="s">
        <v>70</v>
      </c>
      <c r="E611">
        <v>2</v>
      </c>
      <c r="F611">
        <v>333.41</v>
      </c>
      <c r="G611" t="s">
        <v>13</v>
      </c>
      <c r="H611" t="s">
        <v>63</v>
      </c>
      <c r="I611">
        <v>666.82</v>
      </c>
      <c r="J611">
        <f>Tabela1[[#This Row],[Valor Total]]/Tabela1[[#This Row],[Quantidade]]</f>
        <v>333.41</v>
      </c>
      <c r="K611" t="str">
        <f>TEXT(Tabela1[[#This Row],[Data]],"aaaa-mm")</f>
        <v>2024-10</v>
      </c>
    </row>
    <row r="612" spans="1:11">
      <c r="A612" s="1">
        <v>45596</v>
      </c>
      <c r="B612" t="s">
        <v>61</v>
      </c>
      <c r="C612" t="s">
        <v>6</v>
      </c>
      <c r="D612" t="s">
        <v>66</v>
      </c>
      <c r="E612">
        <v>6</v>
      </c>
      <c r="F612">
        <v>194.88</v>
      </c>
      <c r="G612" t="s">
        <v>14</v>
      </c>
      <c r="H612" t="s">
        <v>64</v>
      </c>
      <c r="I612">
        <v>1169.28</v>
      </c>
      <c r="J612">
        <f>Tabela1[[#This Row],[Valor Total]]/Tabela1[[#This Row],[Quantidade]]</f>
        <v>194.88</v>
      </c>
      <c r="K612" t="str">
        <f>TEXT(Tabela1[[#This Row],[Data]],"aaaa-mm")</f>
        <v>2024-10</v>
      </c>
    </row>
    <row r="613" spans="1:11">
      <c r="A613" s="1">
        <v>45597</v>
      </c>
      <c r="B613" t="s">
        <v>69</v>
      </c>
      <c r="C613" t="s">
        <v>8</v>
      </c>
      <c r="D613" t="s">
        <v>62</v>
      </c>
      <c r="E613">
        <v>2</v>
      </c>
      <c r="F613">
        <v>148.51</v>
      </c>
      <c r="G613" t="s">
        <v>13</v>
      </c>
      <c r="H613" t="s">
        <v>71</v>
      </c>
      <c r="I613">
        <v>297.02</v>
      </c>
      <c r="J613">
        <f>Tabela1[[#This Row],[Valor Total]]/Tabela1[[#This Row],[Quantidade]]</f>
        <v>148.51</v>
      </c>
      <c r="K613" t="str">
        <f>TEXT(Tabela1[[#This Row],[Data]],"aaaa-mm")</f>
        <v>2024-11</v>
      </c>
    </row>
    <row r="614" spans="1:11">
      <c r="A614" s="1">
        <v>45598</v>
      </c>
      <c r="B614" t="s">
        <v>68</v>
      </c>
      <c r="C614" t="s">
        <v>4</v>
      </c>
      <c r="D614" t="s">
        <v>66</v>
      </c>
      <c r="E614">
        <v>3</v>
      </c>
      <c r="F614">
        <v>173.24</v>
      </c>
      <c r="G614" t="s">
        <v>13</v>
      </c>
      <c r="H614" t="s">
        <v>71</v>
      </c>
      <c r="I614">
        <v>519.72</v>
      </c>
      <c r="J614">
        <f>Tabela1[[#This Row],[Valor Total]]/Tabela1[[#This Row],[Quantidade]]</f>
        <v>173.24</v>
      </c>
      <c r="K614" t="str">
        <f>TEXT(Tabela1[[#This Row],[Data]],"aaaa-mm")</f>
        <v>2024-11</v>
      </c>
    </row>
    <row r="615" spans="1:11">
      <c r="A615" s="1">
        <v>45600</v>
      </c>
      <c r="B615" t="s">
        <v>68</v>
      </c>
      <c r="C615" t="s">
        <v>5</v>
      </c>
      <c r="D615" t="s">
        <v>66</v>
      </c>
      <c r="E615">
        <v>1</v>
      </c>
      <c r="F615">
        <v>225.56</v>
      </c>
      <c r="G615" t="s">
        <v>11</v>
      </c>
      <c r="H615" t="s">
        <v>63</v>
      </c>
      <c r="I615">
        <v>225.56</v>
      </c>
      <c r="J615">
        <f>Tabela1[[#This Row],[Valor Total]]/Tabela1[[#This Row],[Quantidade]]</f>
        <v>225.56</v>
      </c>
      <c r="K615" t="str">
        <f>TEXT(Tabela1[[#This Row],[Data]],"aaaa-mm")</f>
        <v>2024-11</v>
      </c>
    </row>
    <row r="616" spans="1:11">
      <c r="A616" s="1">
        <v>45601</v>
      </c>
      <c r="B616" t="s">
        <v>69</v>
      </c>
      <c r="C616" t="s">
        <v>5</v>
      </c>
      <c r="D616" t="s">
        <v>73</v>
      </c>
      <c r="E616">
        <v>5</v>
      </c>
      <c r="F616">
        <v>238.9</v>
      </c>
      <c r="G616" t="s">
        <v>15</v>
      </c>
      <c r="H616" t="s">
        <v>67</v>
      </c>
      <c r="I616">
        <v>1194.5</v>
      </c>
      <c r="J616">
        <f>Tabela1[[#This Row],[Valor Total]]/Tabela1[[#This Row],[Quantidade]]</f>
        <v>238.9</v>
      </c>
      <c r="K616" t="str">
        <f>TEXT(Tabela1[[#This Row],[Data]],"aaaa-mm")</f>
        <v>2024-11</v>
      </c>
    </row>
    <row r="617" spans="1:11">
      <c r="A617" s="1">
        <v>45602</v>
      </c>
      <c r="B617" t="s">
        <v>69</v>
      </c>
      <c r="C617" t="s">
        <v>8</v>
      </c>
      <c r="D617" t="s">
        <v>66</v>
      </c>
      <c r="E617">
        <v>6</v>
      </c>
      <c r="F617">
        <v>484.5</v>
      </c>
      <c r="G617" t="s">
        <v>15</v>
      </c>
      <c r="H617" t="s">
        <v>64</v>
      </c>
      <c r="I617">
        <v>2907</v>
      </c>
      <c r="J617">
        <f>Tabela1[[#This Row],[Valor Total]]/Tabela1[[#This Row],[Quantidade]]</f>
        <v>484.5</v>
      </c>
      <c r="K617" t="str">
        <f>TEXT(Tabela1[[#This Row],[Data]],"aaaa-mm")</f>
        <v>2024-11</v>
      </c>
    </row>
    <row r="618" spans="1:11">
      <c r="A618" s="1">
        <v>45603</v>
      </c>
      <c r="B618" t="s">
        <v>72</v>
      </c>
      <c r="C618" t="s">
        <v>8</v>
      </c>
      <c r="D618" t="s">
        <v>73</v>
      </c>
      <c r="E618">
        <v>1</v>
      </c>
      <c r="F618">
        <v>287.41000000000003</v>
      </c>
      <c r="G618" t="s">
        <v>15</v>
      </c>
      <c r="H618" t="s">
        <v>63</v>
      </c>
      <c r="I618">
        <v>287.41000000000003</v>
      </c>
      <c r="J618">
        <f>Tabela1[[#This Row],[Valor Total]]/Tabela1[[#This Row],[Quantidade]]</f>
        <v>287.41000000000003</v>
      </c>
      <c r="K618" t="str">
        <f>TEXT(Tabela1[[#This Row],[Data]],"aaaa-mm")</f>
        <v>2024-11</v>
      </c>
    </row>
    <row r="619" spans="1:11">
      <c r="A619" s="1">
        <v>45604</v>
      </c>
      <c r="B619" t="s">
        <v>61</v>
      </c>
      <c r="C619" t="s">
        <v>7</v>
      </c>
      <c r="D619" t="s">
        <v>62</v>
      </c>
      <c r="E619">
        <v>7</v>
      </c>
      <c r="F619">
        <v>154.69</v>
      </c>
      <c r="G619" t="s">
        <v>11</v>
      </c>
      <c r="H619" t="s">
        <v>64</v>
      </c>
      <c r="I619">
        <v>1082.83</v>
      </c>
      <c r="J619">
        <f>Tabela1[[#This Row],[Valor Total]]/Tabela1[[#This Row],[Quantidade]]</f>
        <v>154.69</v>
      </c>
      <c r="K619" t="str">
        <f>TEXT(Tabela1[[#This Row],[Data]],"aaaa-mm")</f>
        <v>2024-11</v>
      </c>
    </row>
    <row r="620" spans="1:11">
      <c r="A620" s="1">
        <v>45605</v>
      </c>
      <c r="B620" t="s">
        <v>72</v>
      </c>
      <c r="C620" t="s">
        <v>5</v>
      </c>
      <c r="D620" t="s">
        <v>66</v>
      </c>
      <c r="E620">
        <v>6</v>
      </c>
      <c r="F620">
        <v>228.45</v>
      </c>
      <c r="G620" t="s">
        <v>12</v>
      </c>
      <c r="H620" t="s">
        <v>71</v>
      </c>
      <c r="I620">
        <v>1370.7</v>
      </c>
      <c r="J620">
        <f>Tabela1[[#This Row],[Valor Total]]/Tabela1[[#This Row],[Quantidade]]</f>
        <v>228.45000000000002</v>
      </c>
      <c r="K620" t="str">
        <f>TEXT(Tabela1[[#This Row],[Data]],"aaaa-mm")</f>
        <v>2024-11</v>
      </c>
    </row>
    <row r="621" spans="1:11">
      <c r="A621" s="1">
        <v>45606</v>
      </c>
      <c r="B621" t="s">
        <v>72</v>
      </c>
      <c r="C621" t="s">
        <v>6</v>
      </c>
      <c r="D621" t="s">
        <v>73</v>
      </c>
      <c r="E621">
        <v>5</v>
      </c>
      <c r="F621">
        <v>402.31</v>
      </c>
      <c r="G621" t="s">
        <v>15</v>
      </c>
      <c r="H621" t="s">
        <v>67</v>
      </c>
      <c r="I621">
        <v>2011.55</v>
      </c>
      <c r="J621">
        <f>Tabela1[[#This Row],[Valor Total]]/Tabela1[[#This Row],[Quantidade]]</f>
        <v>402.31</v>
      </c>
      <c r="K621" t="str">
        <f>TEXT(Tabela1[[#This Row],[Data]],"aaaa-mm")</f>
        <v>2024-11</v>
      </c>
    </row>
    <row r="622" spans="1:11">
      <c r="A622" s="1">
        <v>45607</v>
      </c>
      <c r="B622" t="s">
        <v>72</v>
      </c>
      <c r="C622" t="s">
        <v>4</v>
      </c>
      <c r="D622" t="s">
        <v>62</v>
      </c>
      <c r="E622">
        <v>4</v>
      </c>
      <c r="F622">
        <v>369.59</v>
      </c>
      <c r="G622" t="s">
        <v>12</v>
      </c>
      <c r="H622" t="s">
        <v>67</v>
      </c>
      <c r="I622">
        <v>1478.36</v>
      </c>
      <c r="J622">
        <f>Tabela1[[#This Row],[Valor Total]]/Tabela1[[#This Row],[Quantidade]]</f>
        <v>369.59</v>
      </c>
      <c r="K622" t="str">
        <f>TEXT(Tabela1[[#This Row],[Data]],"aaaa-mm")</f>
        <v>2024-11</v>
      </c>
    </row>
    <row r="623" spans="1:11">
      <c r="A623" s="1">
        <v>45608</v>
      </c>
      <c r="B623" t="s">
        <v>69</v>
      </c>
      <c r="C623" t="s">
        <v>5</v>
      </c>
      <c r="D623" t="s">
        <v>62</v>
      </c>
      <c r="E623">
        <v>4</v>
      </c>
      <c r="F623">
        <v>343.88</v>
      </c>
      <c r="G623" t="s">
        <v>14</v>
      </c>
      <c r="H623" t="s">
        <v>64</v>
      </c>
      <c r="I623">
        <v>1375.52</v>
      </c>
      <c r="J623">
        <f>Tabela1[[#This Row],[Valor Total]]/Tabela1[[#This Row],[Quantidade]]</f>
        <v>343.88</v>
      </c>
      <c r="K623" t="str">
        <f>TEXT(Tabela1[[#This Row],[Data]],"aaaa-mm")</f>
        <v>2024-11</v>
      </c>
    </row>
    <row r="624" spans="1:11">
      <c r="A624" s="1">
        <v>45609</v>
      </c>
      <c r="B624" t="s">
        <v>68</v>
      </c>
      <c r="C624" t="s">
        <v>5</v>
      </c>
      <c r="D624" t="s">
        <v>66</v>
      </c>
      <c r="E624">
        <v>6</v>
      </c>
      <c r="F624">
        <v>497.77</v>
      </c>
      <c r="G624" t="s">
        <v>11</v>
      </c>
      <c r="H624" t="s">
        <v>67</v>
      </c>
      <c r="I624">
        <v>2986.62</v>
      </c>
      <c r="J624">
        <f>Tabela1[[#This Row],[Valor Total]]/Tabela1[[#This Row],[Quantidade]]</f>
        <v>497.77</v>
      </c>
      <c r="K624" t="str">
        <f>TEXT(Tabela1[[#This Row],[Data]],"aaaa-mm")</f>
        <v>2024-11</v>
      </c>
    </row>
    <row r="625" spans="1:11">
      <c r="A625" s="1">
        <v>45610</v>
      </c>
      <c r="B625" t="s">
        <v>74</v>
      </c>
      <c r="C625" t="s">
        <v>8</v>
      </c>
      <c r="D625" t="s">
        <v>62</v>
      </c>
      <c r="E625">
        <v>5</v>
      </c>
      <c r="F625">
        <v>251.53</v>
      </c>
      <c r="G625" t="s">
        <v>14</v>
      </c>
      <c r="H625" t="s">
        <v>71</v>
      </c>
      <c r="I625">
        <v>1257.6500000000001</v>
      </c>
      <c r="J625">
        <f>Tabela1[[#This Row],[Valor Total]]/Tabela1[[#This Row],[Quantidade]]</f>
        <v>251.53000000000003</v>
      </c>
      <c r="K625" t="str">
        <f>TEXT(Tabela1[[#This Row],[Data]],"aaaa-mm")</f>
        <v>2024-11</v>
      </c>
    </row>
    <row r="626" spans="1:11">
      <c r="A626" s="1">
        <v>45612</v>
      </c>
      <c r="B626" t="s">
        <v>69</v>
      </c>
      <c r="C626" t="s">
        <v>7</v>
      </c>
      <c r="D626" t="s">
        <v>62</v>
      </c>
      <c r="E626">
        <v>9</v>
      </c>
      <c r="F626">
        <v>350.16</v>
      </c>
      <c r="G626" t="s">
        <v>11</v>
      </c>
      <c r="H626" t="s">
        <v>63</v>
      </c>
      <c r="I626">
        <v>3151.44</v>
      </c>
      <c r="J626">
        <f>Tabela1[[#This Row],[Valor Total]]/Tabela1[[#This Row],[Quantidade]]</f>
        <v>350.16</v>
      </c>
      <c r="K626" t="str">
        <f>TEXT(Tabela1[[#This Row],[Data]],"aaaa-mm")</f>
        <v>2024-11</v>
      </c>
    </row>
    <row r="627" spans="1:11">
      <c r="A627" s="1">
        <v>45613</v>
      </c>
      <c r="B627" t="s">
        <v>68</v>
      </c>
      <c r="C627" t="s">
        <v>5</v>
      </c>
      <c r="D627" t="s">
        <v>73</v>
      </c>
      <c r="E627">
        <v>3</v>
      </c>
      <c r="F627">
        <v>488.9</v>
      </c>
      <c r="G627" t="s">
        <v>11</v>
      </c>
      <c r="H627" t="s">
        <v>71</v>
      </c>
      <c r="I627">
        <v>1466.7</v>
      </c>
      <c r="J627">
        <f>Tabela1[[#This Row],[Valor Total]]/Tabela1[[#This Row],[Quantidade]]</f>
        <v>488.90000000000003</v>
      </c>
      <c r="K627" t="str">
        <f>TEXT(Tabela1[[#This Row],[Data]],"aaaa-mm")</f>
        <v>2024-11</v>
      </c>
    </row>
    <row r="628" spans="1:11">
      <c r="A628" s="1">
        <v>45614</v>
      </c>
      <c r="B628" t="s">
        <v>74</v>
      </c>
      <c r="C628" t="s">
        <v>8</v>
      </c>
      <c r="D628" t="s">
        <v>66</v>
      </c>
      <c r="E628">
        <v>1</v>
      </c>
      <c r="F628">
        <v>422.06</v>
      </c>
      <c r="G628" t="s">
        <v>14</v>
      </c>
      <c r="H628" t="s">
        <v>63</v>
      </c>
      <c r="I628">
        <v>422.06</v>
      </c>
      <c r="J628">
        <f>Tabela1[[#This Row],[Valor Total]]/Tabela1[[#This Row],[Quantidade]]</f>
        <v>422.06</v>
      </c>
      <c r="K628" t="str">
        <f>TEXT(Tabela1[[#This Row],[Data]],"aaaa-mm")</f>
        <v>2024-11</v>
      </c>
    </row>
    <row r="629" spans="1:11">
      <c r="A629" s="1">
        <v>45615</v>
      </c>
      <c r="B629" t="s">
        <v>72</v>
      </c>
      <c r="C629" t="s">
        <v>7</v>
      </c>
      <c r="D629" t="s">
        <v>62</v>
      </c>
      <c r="E629">
        <v>7</v>
      </c>
      <c r="F629">
        <v>394.01</v>
      </c>
      <c r="G629" t="s">
        <v>12</v>
      </c>
      <c r="H629" t="s">
        <v>67</v>
      </c>
      <c r="I629">
        <v>2758.07</v>
      </c>
      <c r="J629">
        <f>Tabela1[[#This Row],[Valor Total]]/Tabela1[[#This Row],[Quantidade]]</f>
        <v>394.01000000000005</v>
      </c>
      <c r="K629" t="str">
        <f>TEXT(Tabela1[[#This Row],[Data]],"aaaa-mm")</f>
        <v>2024-11</v>
      </c>
    </row>
    <row r="630" spans="1:11">
      <c r="A630" s="1">
        <v>45616</v>
      </c>
      <c r="B630" t="s">
        <v>72</v>
      </c>
      <c r="C630" t="s">
        <v>8</v>
      </c>
      <c r="D630" t="s">
        <v>66</v>
      </c>
      <c r="E630">
        <v>3</v>
      </c>
      <c r="F630">
        <v>409.54</v>
      </c>
      <c r="G630" t="s">
        <v>11</v>
      </c>
      <c r="H630" t="s">
        <v>67</v>
      </c>
      <c r="I630">
        <v>1228.6199999999999</v>
      </c>
      <c r="J630">
        <f>Tabela1[[#This Row],[Valor Total]]/Tabela1[[#This Row],[Quantidade]]</f>
        <v>409.53999999999996</v>
      </c>
      <c r="K630" t="str">
        <f>TEXT(Tabela1[[#This Row],[Data]],"aaaa-mm")</f>
        <v>2024-11</v>
      </c>
    </row>
    <row r="631" spans="1:11">
      <c r="A631" s="1">
        <v>45617</v>
      </c>
      <c r="B631" t="s">
        <v>69</v>
      </c>
      <c r="C631" t="s">
        <v>5</v>
      </c>
      <c r="D631" t="s">
        <v>62</v>
      </c>
      <c r="E631">
        <v>7</v>
      </c>
      <c r="F631">
        <v>301.24</v>
      </c>
      <c r="G631" t="s">
        <v>11</v>
      </c>
      <c r="H631" t="s">
        <v>67</v>
      </c>
      <c r="I631">
        <v>2108.6799999999998</v>
      </c>
      <c r="J631">
        <f>Tabela1[[#This Row],[Valor Total]]/Tabela1[[#This Row],[Quantidade]]</f>
        <v>301.23999999999995</v>
      </c>
      <c r="K631" t="str">
        <f>TEXT(Tabela1[[#This Row],[Data]],"aaaa-mm")</f>
        <v>2024-11</v>
      </c>
    </row>
    <row r="632" spans="1:11">
      <c r="A632" s="1">
        <v>45618</v>
      </c>
      <c r="B632" t="s">
        <v>72</v>
      </c>
      <c r="C632" t="s">
        <v>7</v>
      </c>
      <c r="D632" t="s">
        <v>73</v>
      </c>
      <c r="E632">
        <v>3</v>
      </c>
      <c r="F632">
        <v>400.92</v>
      </c>
      <c r="G632" t="s">
        <v>11</v>
      </c>
      <c r="H632" t="s">
        <v>67</v>
      </c>
      <c r="I632">
        <v>1202.76</v>
      </c>
      <c r="J632">
        <f>Tabela1[[#This Row],[Valor Total]]/Tabela1[[#This Row],[Quantidade]]</f>
        <v>400.92</v>
      </c>
      <c r="K632" t="str">
        <f>TEXT(Tabela1[[#This Row],[Data]],"aaaa-mm")</f>
        <v>2024-11</v>
      </c>
    </row>
    <row r="633" spans="1:11">
      <c r="A633" s="1">
        <v>45619</v>
      </c>
      <c r="B633" t="s">
        <v>69</v>
      </c>
      <c r="C633" t="s">
        <v>8</v>
      </c>
      <c r="D633" t="s">
        <v>66</v>
      </c>
      <c r="E633">
        <v>8</v>
      </c>
      <c r="F633">
        <v>45.67</v>
      </c>
      <c r="G633" t="s">
        <v>14</v>
      </c>
      <c r="H633" t="s">
        <v>71</v>
      </c>
      <c r="I633">
        <v>365.36</v>
      </c>
      <c r="J633">
        <f>Tabela1[[#This Row],[Valor Total]]/Tabela1[[#This Row],[Quantidade]]</f>
        <v>45.67</v>
      </c>
      <c r="K633" t="str">
        <f>TEXT(Tabela1[[#This Row],[Data]],"aaaa-mm")</f>
        <v>2024-11</v>
      </c>
    </row>
    <row r="634" spans="1:11">
      <c r="A634" s="1">
        <v>45620</v>
      </c>
      <c r="B634" t="s">
        <v>72</v>
      </c>
      <c r="C634" t="s">
        <v>7</v>
      </c>
      <c r="D634" t="s">
        <v>62</v>
      </c>
      <c r="E634">
        <v>5</v>
      </c>
      <c r="F634">
        <v>171.49</v>
      </c>
      <c r="G634" t="s">
        <v>13</v>
      </c>
      <c r="H634" t="s">
        <v>67</v>
      </c>
      <c r="I634">
        <v>857.45</v>
      </c>
      <c r="J634">
        <f>Tabela1[[#This Row],[Valor Total]]/Tabela1[[#This Row],[Quantidade]]</f>
        <v>171.49</v>
      </c>
      <c r="K634" t="str">
        <f>TEXT(Tabela1[[#This Row],[Data]],"aaaa-mm")</f>
        <v>2024-11</v>
      </c>
    </row>
    <row r="635" spans="1:11">
      <c r="A635" s="1">
        <v>45621</v>
      </c>
      <c r="B635" t="s">
        <v>68</v>
      </c>
      <c r="C635" t="s">
        <v>4</v>
      </c>
      <c r="D635" t="s">
        <v>73</v>
      </c>
      <c r="E635">
        <v>7</v>
      </c>
      <c r="F635">
        <v>273.58999999999997</v>
      </c>
      <c r="G635" t="s">
        <v>14</v>
      </c>
      <c r="H635" t="s">
        <v>64</v>
      </c>
      <c r="I635">
        <v>1915.13</v>
      </c>
      <c r="J635">
        <f>Tabela1[[#This Row],[Valor Total]]/Tabela1[[#This Row],[Quantidade]]</f>
        <v>273.59000000000003</v>
      </c>
      <c r="K635" t="str">
        <f>TEXT(Tabela1[[#This Row],[Data]],"aaaa-mm")</f>
        <v>2024-11</v>
      </c>
    </row>
    <row r="636" spans="1:11">
      <c r="A636" s="1">
        <v>45623</v>
      </c>
      <c r="B636" t="s">
        <v>68</v>
      </c>
      <c r="C636" t="s">
        <v>7</v>
      </c>
      <c r="D636" t="s">
        <v>62</v>
      </c>
      <c r="E636">
        <v>2</v>
      </c>
      <c r="F636">
        <v>49</v>
      </c>
      <c r="G636" t="s">
        <v>13</v>
      </c>
      <c r="H636" t="s">
        <v>63</v>
      </c>
      <c r="I636">
        <v>98</v>
      </c>
      <c r="J636">
        <f>Tabela1[[#This Row],[Valor Total]]/Tabela1[[#This Row],[Quantidade]]</f>
        <v>49</v>
      </c>
      <c r="K636" t="str">
        <f>TEXT(Tabela1[[#This Row],[Data]],"aaaa-mm")</f>
        <v>2024-11</v>
      </c>
    </row>
    <row r="637" spans="1:11">
      <c r="A637" s="1">
        <v>45624</v>
      </c>
      <c r="B637" t="s">
        <v>69</v>
      </c>
      <c r="C637" t="s">
        <v>7</v>
      </c>
      <c r="D637" t="s">
        <v>62</v>
      </c>
      <c r="E637">
        <v>4</v>
      </c>
      <c r="F637">
        <v>239.17</v>
      </c>
      <c r="G637" t="s">
        <v>14</v>
      </c>
      <c r="H637" t="s">
        <v>67</v>
      </c>
      <c r="I637">
        <v>956.68</v>
      </c>
      <c r="J637">
        <f>Tabela1[[#This Row],[Valor Total]]/Tabela1[[#This Row],[Quantidade]]</f>
        <v>239.17</v>
      </c>
      <c r="K637" t="str">
        <f>TEXT(Tabela1[[#This Row],[Data]],"aaaa-mm")</f>
        <v>2024-11</v>
      </c>
    </row>
    <row r="638" spans="1:11">
      <c r="A638" s="1">
        <v>45625</v>
      </c>
      <c r="B638" t="s">
        <v>68</v>
      </c>
      <c r="C638" t="s">
        <v>4</v>
      </c>
      <c r="D638" t="s">
        <v>73</v>
      </c>
      <c r="E638">
        <v>7</v>
      </c>
      <c r="F638">
        <v>95.22</v>
      </c>
      <c r="G638" t="s">
        <v>12</v>
      </c>
      <c r="H638" t="s">
        <v>67</v>
      </c>
      <c r="I638">
        <v>666.54</v>
      </c>
      <c r="J638">
        <f>Tabela1[[#This Row],[Valor Total]]/Tabela1[[#This Row],[Quantidade]]</f>
        <v>95.22</v>
      </c>
      <c r="K638" t="str">
        <f>TEXT(Tabela1[[#This Row],[Data]],"aaaa-mm")</f>
        <v>2024-11</v>
      </c>
    </row>
    <row r="639" spans="1:11">
      <c r="A639" s="1">
        <v>45626</v>
      </c>
      <c r="B639" t="s">
        <v>61</v>
      </c>
      <c r="C639" t="s">
        <v>7</v>
      </c>
      <c r="D639" t="s">
        <v>70</v>
      </c>
      <c r="E639">
        <v>9</v>
      </c>
      <c r="F639">
        <v>59.73</v>
      </c>
      <c r="G639" t="s">
        <v>13</v>
      </c>
      <c r="H639" t="s">
        <v>71</v>
      </c>
      <c r="I639">
        <v>537.56999999999994</v>
      </c>
      <c r="J639">
        <f>Tabela1[[#This Row],[Valor Total]]/Tabela1[[#This Row],[Quantidade]]</f>
        <v>59.72999999999999</v>
      </c>
      <c r="K639" t="str">
        <f>TEXT(Tabela1[[#This Row],[Data]],"aaaa-mm")</f>
        <v>2024-11</v>
      </c>
    </row>
    <row r="640" spans="1:11">
      <c r="A640" s="1">
        <v>45627</v>
      </c>
      <c r="B640" t="s">
        <v>72</v>
      </c>
      <c r="C640" t="s">
        <v>8</v>
      </c>
      <c r="D640" t="s">
        <v>66</v>
      </c>
      <c r="E640">
        <v>6</v>
      </c>
      <c r="F640">
        <v>135.93</v>
      </c>
      <c r="G640" t="s">
        <v>15</v>
      </c>
      <c r="H640" t="s">
        <v>71</v>
      </c>
      <c r="I640">
        <v>815.58</v>
      </c>
      <c r="J640">
        <f>Tabela1[[#This Row],[Valor Total]]/Tabela1[[#This Row],[Quantidade]]</f>
        <v>135.93</v>
      </c>
      <c r="K640" t="str">
        <f>TEXT(Tabela1[[#This Row],[Data]],"aaaa-mm")</f>
        <v>2024-12</v>
      </c>
    </row>
    <row r="641" spans="1:11">
      <c r="A641" s="1">
        <v>45628</v>
      </c>
      <c r="B641" t="s">
        <v>69</v>
      </c>
      <c r="C641" t="s">
        <v>6</v>
      </c>
      <c r="D641" t="s">
        <v>70</v>
      </c>
      <c r="E641">
        <v>5</v>
      </c>
      <c r="F641">
        <v>47.48</v>
      </c>
      <c r="G641" t="s">
        <v>12</v>
      </c>
      <c r="H641" t="s">
        <v>71</v>
      </c>
      <c r="I641">
        <v>237.4</v>
      </c>
      <c r="J641">
        <f>Tabela1[[#This Row],[Valor Total]]/Tabela1[[#This Row],[Quantidade]]</f>
        <v>47.480000000000004</v>
      </c>
      <c r="K641" t="str">
        <f>TEXT(Tabela1[[#This Row],[Data]],"aaaa-mm")</f>
        <v>2024-12</v>
      </c>
    </row>
    <row r="642" spans="1:11">
      <c r="A642" s="1">
        <v>45629</v>
      </c>
      <c r="B642" t="s">
        <v>61</v>
      </c>
      <c r="C642" t="s">
        <v>5</v>
      </c>
      <c r="D642" t="s">
        <v>73</v>
      </c>
      <c r="E642">
        <v>2</v>
      </c>
      <c r="F642">
        <v>184.26</v>
      </c>
      <c r="G642" t="s">
        <v>12</v>
      </c>
      <c r="H642" t="s">
        <v>64</v>
      </c>
      <c r="I642">
        <v>368.52</v>
      </c>
      <c r="J642">
        <f>Tabela1[[#This Row],[Valor Total]]/Tabela1[[#This Row],[Quantidade]]</f>
        <v>184.26</v>
      </c>
      <c r="K642" t="str">
        <f>TEXT(Tabela1[[#This Row],[Data]],"aaaa-mm")</f>
        <v>2024-12</v>
      </c>
    </row>
    <row r="643" spans="1:11">
      <c r="A643" s="1">
        <v>45630</v>
      </c>
      <c r="B643" t="s">
        <v>74</v>
      </c>
      <c r="C643" t="s">
        <v>4</v>
      </c>
      <c r="D643" t="s">
        <v>65</v>
      </c>
      <c r="E643">
        <v>5</v>
      </c>
      <c r="F643">
        <v>238.66</v>
      </c>
      <c r="G643" t="s">
        <v>13</v>
      </c>
      <c r="H643" t="s">
        <v>71</v>
      </c>
      <c r="I643">
        <v>1193.3</v>
      </c>
      <c r="J643">
        <f>Tabela1[[#This Row],[Valor Total]]/Tabela1[[#This Row],[Quantidade]]</f>
        <v>238.66</v>
      </c>
      <c r="K643" t="str">
        <f>TEXT(Tabela1[[#This Row],[Data]],"aaaa-mm")</f>
        <v>2024-12</v>
      </c>
    </row>
    <row r="644" spans="1:11">
      <c r="A644" s="1">
        <v>45631</v>
      </c>
      <c r="B644" t="s">
        <v>68</v>
      </c>
      <c r="C644" t="s">
        <v>5</v>
      </c>
      <c r="D644" t="s">
        <v>73</v>
      </c>
      <c r="E644">
        <v>8</v>
      </c>
      <c r="F644">
        <v>489.73</v>
      </c>
      <c r="G644" t="s">
        <v>14</v>
      </c>
      <c r="H644" t="s">
        <v>71</v>
      </c>
      <c r="I644">
        <v>3917.84</v>
      </c>
      <c r="J644">
        <f>Tabela1[[#This Row],[Valor Total]]/Tabela1[[#This Row],[Quantidade]]</f>
        <v>489.73</v>
      </c>
      <c r="K644" t="str">
        <f>TEXT(Tabela1[[#This Row],[Data]],"aaaa-mm")</f>
        <v>2024-12</v>
      </c>
    </row>
    <row r="645" spans="1:11">
      <c r="A645" s="1">
        <v>45632</v>
      </c>
      <c r="B645" t="s">
        <v>72</v>
      </c>
      <c r="C645" t="s">
        <v>4</v>
      </c>
      <c r="D645" t="s">
        <v>66</v>
      </c>
      <c r="E645">
        <v>6</v>
      </c>
      <c r="F645">
        <v>280.24</v>
      </c>
      <c r="G645" t="s">
        <v>14</v>
      </c>
      <c r="H645" t="s">
        <v>71</v>
      </c>
      <c r="I645">
        <v>1681.44</v>
      </c>
      <c r="J645">
        <f>Tabela1[[#This Row],[Valor Total]]/Tabela1[[#This Row],[Quantidade]]</f>
        <v>280.24</v>
      </c>
      <c r="K645" t="str">
        <f>TEXT(Tabela1[[#This Row],[Data]],"aaaa-mm")</f>
        <v>2024-12</v>
      </c>
    </row>
    <row r="646" spans="1:11">
      <c r="A646" s="1">
        <v>45633</v>
      </c>
      <c r="B646" t="s">
        <v>72</v>
      </c>
      <c r="C646" t="s">
        <v>5</v>
      </c>
      <c r="D646" t="s">
        <v>65</v>
      </c>
      <c r="E646">
        <v>4</v>
      </c>
      <c r="F646">
        <v>452.67</v>
      </c>
      <c r="G646" t="s">
        <v>12</v>
      </c>
      <c r="H646" t="s">
        <v>64</v>
      </c>
      <c r="I646">
        <v>1810.68</v>
      </c>
      <c r="J646">
        <f>Tabela1[[#This Row],[Valor Total]]/Tabela1[[#This Row],[Quantidade]]</f>
        <v>452.67</v>
      </c>
      <c r="K646" t="str">
        <f>TEXT(Tabela1[[#This Row],[Data]],"aaaa-mm")</f>
        <v>2024-12</v>
      </c>
    </row>
    <row r="647" spans="1:11">
      <c r="A647" s="1">
        <v>45635</v>
      </c>
      <c r="B647" t="s">
        <v>74</v>
      </c>
      <c r="C647" t="s">
        <v>5</v>
      </c>
      <c r="D647" t="s">
        <v>66</v>
      </c>
      <c r="E647">
        <v>4</v>
      </c>
      <c r="F647">
        <v>258.82</v>
      </c>
      <c r="G647" t="s">
        <v>13</v>
      </c>
      <c r="H647" t="s">
        <v>71</v>
      </c>
      <c r="I647">
        <v>1035.28</v>
      </c>
      <c r="J647">
        <f>Tabela1[[#This Row],[Valor Total]]/Tabela1[[#This Row],[Quantidade]]</f>
        <v>258.82</v>
      </c>
      <c r="K647" t="str">
        <f>TEXT(Tabela1[[#This Row],[Data]],"aaaa-mm")</f>
        <v>2024-12</v>
      </c>
    </row>
    <row r="648" spans="1:11">
      <c r="A648" s="1">
        <v>45636</v>
      </c>
      <c r="B648" t="s">
        <v>69</v>
      </c>
      <c r="C648" t="s">
        <v>6</v>
      </c>
      <c r="D648" t="s">
        <v>70</v>
      </c>
      <c r="E648">
        <v>6</v>
      </c>
      <c r="F648">
        <v>348.63</v>
      </c>
      <c r="G648" t="s">
        <v>11</v>
      </c>
      <c r="H648" t="s">
        <v>67</v>
      </c>
      <c r="I648">
        <v>2091.7800000000002</v>
      </c>
      <c r="J648">
        <f>Tabela1[[#This Row],[Valor Total]]/Tabela1[[#This Row],[Quantidade]]</f>
        <v>348.63000000000005</v>
      </c>
      <c r="K648" t="str">
        <f>TEXT(Tabela1[[#This Row],[Data]],"aaaa-mm")</f>
        <v>2024-12</v>
      </c>
    </row>
    <row r="649" spans="1:11">
      <c r="A649" s="1">
        <v>45637</v>
      </c>
      <c r="B649" t="s">
        <v>69</v>
      </c>
      <c r="C649" t="s">
        <v>5</v>
      </c>
      <c r="D649" t="s">
        <v>65</v>
      </c>
      <c r="E649">
        <v>3</v>
      </c>
      <c r="F649">
        <v>408.8</v>
      </c>
      <c r="G649" t="s">
        <v>11</v>
      </c>
      <c r="H649" t="s">
        <v>71</v>
      </c>
      <c r="I649">
        <v>1226.4000000000001</v>
      </c>
      <c r="J649">
        <f>Tabela1[[#This Row],[Valor Total]]/Tabela1[[#This Row],[Quantidade]]</f>
        <v>408.8</v>
      </c>
      <c r="K649" t="str">
        <f>TEXT(Tabela1[[#This Row],[Data]],"aaaa-mm")</f>
        <v>2024-12</v>
      </c>
    </row>
    <row r="650" spans="1:11">
      <c r="A650" s="1">
        <v>45638</v>
      </c>
      <c r="B650" t="s">
        <v>69</v>
      </c>
      <c r="C650" t="s">
        <v>7</v>
      </c>
      <c r="D650" t="s">
        <v>73</v>
      </c>
      <c r="E650">
        <v>4</v>
      </c>
      <c r="F650">
        <v>151.91999999999999</v>
      </c>
      <c r="G650" t="s">
        <v>14</v>
      </c>
      <c r="H650" t="s">
        <v>71</v>
      </c>
      <c r="I650">
        <v>607.67999999999995</v>
      </c>
      <c r="J650">
        <f>Tabela1[[#This Row],[Valor Total]]/Tabela1[[#This Row],[Quantidade]]</f>
        <v>151.91999999999999</v>
      </c>
      <c r="K650" t="str">
        <f>TEXT(Tabela1[[#This Row],[Data]],"aaaa-mm")</f>
        <v>2024-12</v>
      </c>
    </row>
    <row r="651" spans="1:11">
      <c r="A651" s="1">
        <v>45639</v>
      </c>
      <c r="B651" t="s">
        <v>74</v>
      </c>
      <c r="C651" t="s">
        <v>8</v>
      </c>
      <c r="D651" t="s">
        <v>70</v>
      </c>
      <c r="E651">
        <v>5</v>
      </c>
      <c r="F651">
        <v>33.46</v>
      </c>
      <c r="G651" t="s">
        <v>11</v>
      </c>
      <c r="H651" t="s">
        <v>64</v>
      </c>
      <c r="I651">
        <v>167.3</v>
      </c>
      <c r="J651">
        <f>Tabela1[[#This Row],[Valor Total]]/Tabela1[[#This Row],[Quantidade]]</f>
        <v>33.46</v>
      </c>
      <c r="K651" t="str">
        <f>TEXT(Tabela1[[#This Row],[Data]],"aaaa-mm")</f>
        <v>2024-12</v>
      </c>
    </row>
    <row r="652" spans="1:11">
      <c r="A652" s="1">
        <v>45640</v>
      </c>
      <c r="B652" t="s">
        <v>68</v>
      </c>
      <c r="C652" t="s">
        <v>6</v>
      </c>
      <c r="D652" t="s">
        <v>66</v>
      </c>
      <c r="E652">
        <v>3</v>
      </c>
      <c r="F652">
        <v>494.61</v>
      </c>
      <c r="G652" t="s">
        <v>14</v>
      </c>
      <c r="H652" t="s">
        <v>64</v>
      </c>
      <c r="I652">
        <v>1483.83</v>
      </c>
      <c r="J652">
        <f>Tabela1[[#This Row],[Valor Total]]/Tabela1[[#This Row],[Quantidade]]</f>
        <v>494.60999999999996</v>
      </c>
      <c r="K652" t="str">
        <f>TEXT(Tabela1[[#This Row],[Data]],"aaaa-mm")</f>
        <v>2024-12</v>
      </c>
    </row>
    <row r="653" spans="1:11">
      <c r="A653" s="1">
        <v>45641</v>
      </c>
      <c r="B653" t="s">
        <v>68</v>
      </c>
      <c r="C653" t="s">
        <v>5</v>
      </c>
      <c r="D653" t="s">
        <v>70</v>
      </c>
      <c r="E653">
        <v>2</v>
      </c>
      <c r="F653">
        <v>65.12</v>
      </c>
      <c r="G653" t="s">
        <v>12</v>
      </c>
      <c r="H653" t="s">
        <v>71</v>
      </c>
      <c r="I653">
        <v>130.24</v>
      </c>
      <c r="J653">
        <f>Tabela1[[#This Row],[Valor Total]]/Tabela1[[#This Row],[Quantidade]]</f>
        <v>65.12</v>
      </c>
      <c r="K653" t="str">
        <f>TEXT(Tabela1[[#This Row],[Data]],"aaaa-mm")</f>
        <v>2024-12</v>
      </c>
    </row>
    <row r="654" spans="1:11">
      <c r="A654" s="1">
        <v>45642</v>
      </c>
      <c r="B654" t="s">
        <v>72</v>
      </c>
      <c r="C654" t="s">
        <v>7</v>
      </c>
      <c r="D654" t="s">
        <v>73</v>
      </c>
      <c r="E654">
        <v>2</v>
      </c>
      <c r="F654">
        <v>41.97</v>
      </c>
      <c r="G654" t="s">
        <v>11</v>
      </c>
      <c r="H654" t="s">
        <v>67</v>
      </c>
      <c r="I654">
        <v>83.94</v>
      </c>
      <c r="J654">
        <f>Tabela1[[#This Row],[Valor Total]]/Tabela1[[#This Row],[Quantidade]]</f>
        <v>41.97</v>
      </c>
      <c r="K654" t="str">
        <f>TEXT(Tabela1[[#This Row],[Data]],"aaaa-mm")</f>
        <v>2024-12</v>
      </c>
    </row>
    <row r="655" spans="1:11">
      <c r="A655" s="1">
        <v>45643</v>
      </c>
      <c r="B655" t="s">
        <v>61</v>
      </c>
      <c r="C655" t="s">
        <v>5</v>
      </c>
      <c r="D655" t="s">
        <v>65</v>
      </c>
      <c r="E655">
        <v>8</v>
      </c>
      <c r="F655">
        <v>24.51</v>
      </c>
      <c r="G655" t="s">
        <v>15</v>
      </c>
      <c r="H655" t="s">
        <v>67</v>
      </c>
      <c r="I655">
        <v>196.08</v>
      </c>
      <c r="J655">
        <f>Tabela1[[#This Row],[Valor Total]]/Tabela1[[#This Row],[Quantidade]]</f>
        <v>24.51</v>
      </c>
      <c r="K655" t="str">
        <f>TEXT(Tabela1[[#This Row],[Data]],"aaaa-mm")</f>
        <v>2024-12</v>
      </c>
    </row>
    <row r="656" spans="1:11">
      <c r="A656" s="1">
        <v>45644</v>
      </c>
      <c r="B656" t="s">
        <v>68</v>
      </c>
      <c r="C656" t="s">
        <v>4</v>
      </c>
      <c r="D656" t="s">
        <v>70</v>
      </c>
      <c r="E656">
        <v>6</v>
      </c>
      <c r="F656">
        <v>250.63</v>
      </c>
      <c r="G656" t="s">
        <v>12</v>
      </c>
      <c r="H656" t="s">
        <v>63</v>
      </c>
      <c r="I656">
        <v>1503.78</v>
      </c>
      <c r="J656">
        <f>Tabela1[[#This Row],[Valor Total]]/Tabela1[[#This Row],[Quantidade]]</f>
        <v>250.63</v>
      </c>
      <c r="K656" t="str">
        <f>TEXT(Tabela1[[#This Row],[Data]],"aaaa-mm")</f>
        <v>2024-12</v>
      </c>
    </row>
    <row r="657" spans="1:11">
      <c r="A657" s="1">
        <v>45646</v>
      </c>
      <c r="B657" t="s">
        <v>61</v>
      </c>
      <c r="C657" t="s">
        <v>4</v>
      </c>
      <c r="D657" t="s">
        <v>66</v>
      </c>
      <c r="E657">
        <v>7</v>
      </c>
      <c r="F657">
        <v>86.95</v>
      </c>
      <c r="G657" t="s">
        <v>14</v>
      </c>
      <c r="H657" t="s">
        <v>67</v>
      </c>
      <c r="I657">
        <v>608.65</v>
      </c>
      <c r="J657">
        <f>Tabela1[[#This Row],[Valor Total]]/Tabela1[[#This Row],[Quantidade]]</f>
        <v>86.95</v>
      </c>
      <c r="K657" t="str">
        <f>TEXT(Tabela1[[#This Row],[Data]],"aaaa-mm")</f>
        <v>2024-12</v>
      </c>
    </row>
    <row r="658" spans="1:11">
      <c r="A658" s="1">
        <v>45647</v>
      </c>
      <c r="B658" t="s">
        <v>74</v>
      </c>
      <c r="C658" t="s">
        <v>5</v>
      </c>
      <c r="D658" t="s">
        <v>65</v>
      </c>
      <c r="E658">
        <v>5</v>
      </c>
      <c r="F658">
        <v>283.24</v>
      </c>
      <c r="G658" t="s">
        <v>15</v>
      </c>
      <c r="H658" t="s">
        <v>71</v>
      </c>
      <c r="I658">
        <v>1416.2</v>
      </c>
      <c r="J658">
        <f>Tabela1[[#This Row],[Valor Total]]/Tabela1[[#This Row],[Quantidade]]</f>
        <v>283.24</v>
      </c>
      <c r="K658" t="str">
        <f>TEXT(Tabela1[[#This Row],[Data]],"aaaa-mm")</f>
        <v>2024-12</v>
      </c>
    </row>
    <row r="659" spans="1:11">
      <c r="A659" s="1">
        <v>45648</v>
      </c>
      <c r="B659" t="s">
        <v>61</v>
      </c>
      <c r="C659" t="s">
        <v>4</v>
      </c>
      <c r="D659" t="s">
        <v>73</v>
      </c>
      <c r="E659">
        <v>2</v>
      </c>
      <c r="F659">
        <v>101.55</v>
      </c>
      <c r="G659" t="s">
        <v>13</v>
      </c>
      <c r="H659" t="s">
        <v>63</v>
      </c>
      <c r="I659">
        <v>203.1</v>
      </c>
      <c r="J659">
        <f>Tabela1[[#This Row],[Valor Total]]/Tabela1[[#This Row],[Quantidade]]</f>
        <v>101.55</v>
      </c>
      <c r="K659" t="str">
        <f>TEXT(Tabela1[[#This Row],[Data]],"aaaa-mm")</f>
        <v>2024-12</v>
      </c>
    </row>
    <row r="660" spans="1:11">
      <c r="A660" s="1">
        <v>45649</v>
      </c>
      <c r="B660" t="s">
        <v>69</v>
      </c>
      <c r="C660" t="s">
        <v>6</v>
      </c>
      <c r="D660" t="s">
        <v>62</v>
      </c>
      <c r="E660">
        <v>3</v>
      </c>
      <c r="F660">
        <v>253.41</v>
      </c>
      <c r="G660" t="s">
        <v>15</v>
      </c>
      <c r="H660" t="s">
        <v>64</v>
      </c>
      <c r="I660">
        <v>760.23</v>
      </c>
      <c r="J660">
        <f>Tabela1[[#This Row],[Valor Total]]/Tabela1[[#This Row],[Quantidade]]</f>
        <v>253.41</v>
      </c>
      <c r="K660" t="str">
        <f>TEXT(Tabela1[[#This Row],[Data]],"aaaa-mm")</f>
        <v>2024-12</v>
      </c>
    </row>
    <row r="661" spans="1:11">
      <c r="A661" s="1">
        <v>45650</v>
      </c>
      <c r="B661" t="s">
        <v>61</v>
      </c>
      <c r="C661" t="s">
        <v>8</v>
      </c>
      <c r="D661" t="s">
        <v>65</v>
      </c>
      <c r="E661">
        <v>1</v>
      </c>
      <c r="F661">
        <v>278.64</v>
      </c>
      <c r="G661" t="s">
        <v>13</v>
      </c>
      <c r="H661" t="s">
        <v>64</v>
      </c>
      <c r="I661">
        <v>278.64</v>
      </c>
      <c r="J661">
        <f>Tabela1[[#This Row],[Valor Total]]/Tabela1[[#This Row],[Quantidade]]</f>
        <v>278.64</v>
      </c>
      <c r="K661" t="str">
        <f>TEXT(Tabela1[[#This Row],[Data]],"aaaa-mm")</f>
        <v>2024-12</v>
      </c>
    </row>
    <row r="662" spans="1:11">
      <c r="A662" s="1">
        <v>45651</v>
      </c>
      <c r="B662" t="s">
        <v>61</v>
      </c>
      <c r="C662" t="s">
        <v>7</v>
      </c>
      <c r="D662" t="s">
        <v>65</v>
      </c>
      <c r="E662">
        <v>6</v>
      </c>
      <c r="F662">
        <v>388.55</v>
      </c>
      <c r="G662" t="s">
        <v>15</v>
      </c>
      <c r="H662" t="s">
        <v>71</v>
      </c>
      <c r="I662">
        <v>2331.3000000000002</v>
      </c>
      <c r="J662">
        <f>Tabela1[[#This Row],[Valor Total]]/Tabela1[[#This Row],[Quantidade]]</f>
        <v>388.55</v>
      </c>
      <c r="K662" t="str">
        <f>TEXT(Tabela1[[#This Row],[Data]],"aaaa-mm")</f>
        <v>2024-12</v>
      </c>
    </row>
    <row r="663" spans="1:11">
      <c r="A663" s="1">
        <v>45652</v>
      </c>
      <c r="B663" t="s">
        <v>68</v>
      </c>
      <c r="C663" t="s">
        <v>4</v>
      </c>
      <c r="D663" t="s">
        <v>73</v>
      </c>
      <c r="E663">
        <v>9</v>
      </c>
      <c r="F663">
        <v>324.10000000000002</v>
      </c>
      <c r="G663" t="s">
        <v>15</v>
      </c>
      <c r="H663" t="s">
        <v>67</v>
      </c>
      <c r="I663">
        <v>2916.9</v>
      </c>
      <c r="J663">
        <f>Tabela1[[#This Row],[Valor Total]]/Tabela1[[#This Row],[Quantidade]]</f>
        <v>324.10000000000002</v>
      </c>
      <c r="K663" t="str">
        <f>TEXT(Tabela1[[#This Row],[Data]],"aaaa-mm")</f>
        <v>2024-12</v>
      </c>
    </row>
    <row r="664" spans="1:11">
      <c r="A664" s="1">
        <v>45653</v>
      </c>
      <c r="B664" t="s">
        <v>69</v>
      </c>
      <c r="C664" t="s">
        <v>4</v>
      </c>
      <c r="D664" t="s">
        <v>62</v>
      </c>
      <c r="E664">
        <v>3</v>
      </c>
      <c r="F664">
        <v>282.75</v>
      </c>
      <c r="G664" t="s">
        <v>12</v>
      </c>
      <c r="H664" t="s">
        <v>63</v>
      </c>
      <c r="I664">
        <v>848.25</v>
      </c>
      <c r="J664">
        <f>Tabela1[[#This Row],[Valor Total]]/Tabela1[[#This Row],[Quantidade]]</f>
        <v>282.75</v>
      </c>
      <c r="K664" t="str">
        <f>TEXT(Tabela1[[#This Row],[Data]],"aaaa-mm")</f>
        <v>2024-12</v>
      </c>
    </row>
    <row r="665" spans="1:11">
      <c r="A665" s="1">
        <v>45654</v>
      </c>
      <c r="B665" t="s">
        <v>61</v>
      </c>
      <c r="C665" t="s">
        <v>5</v>
      </c>
      <c r="D665" t="s">
        <v>66</v>
      </c>
      <c r="E665">
        <v>8</v>
      </c>
      <c r="F665">
        <v>159.36000000000001</v>
      </c>
      <c r="G665" t="s">
        <v>15</v>
      </c>
      <c r="H665" t="s">
        <v>67</v>
      </c>
      <c r="I665">
        <v>1274.8800000000001</v>
      </c>
      <c r="J665">
        <f>Tabela1[[#This Row],[Valor Total]]/Tabela1[[#This Row],[Quantidade]]</f>
        <v>159.36000000000001</v>
      </c>
      <c r="K665" t="str">
        <f>TEXT(Tabela1[[#This Row],[Data]],"aaaa-mm")</f>
        <v>2024-12</v>
      </c>
    </row>
    <row r="666" spans="1:11">
      <c r="A666" s="1">
        <v>45655</v>
      </c>
      <c r="B666" t="s">
        <v>68</v>
      </c>
      <c r="C666" t="s">
        <v>5</v>
      </c>
      <c r="D666" t="s">
        <v>70</v>
      </c>
      <c r="E666">
        <v>7</v>
      </c>
      <c r="F666">
        <v>38.090000000000003</v>
      </c>
      <c r="G666" t="s">
        <v>11</v>
      </c>
      <c r="H666" t="s">
        <v>64</v>
      </c>
      <c r="I666">
        <v>266.63</v>
      </c>
      <c r="J666">
        <f>Tabela1[[#This Row],[Valor Total]]/Tabela1[[#This Row],[Quantidade]]</f>
        <v>38.089999999999996</v>
      </c>
      <c r="K666" t="str">
        <f>TEXT(Tabela1[[#This Row],[Data]],"aaaa-mm")</f>
        <v>2024-12</v>
      </c>
    </row>
    <row r="667" spans="1:11">
      <c r="A667" s="1">
        <v>45657</v>
      </c>
      <c r="B667" t="s">
        <v>61</v>
      </c>
      <c r="C667" t="s">
        <v>6</v>
      </c>
      <c r="D667" t="s">
        <v>70</v>
      </c>
      <c r="E667">
        <v>1</v>
      </c>
      <c r="F667">
        <v>107.6</v>
      </c>
      <c r="G667" t="s">
        <v>15</v>
      </c>
      <c r="H667" t="s">
        <v>67</v>
      </c>
      <c r="I667">
        <v>107.6</v>
      </c>
      <c r="J667">
        <f>Tabela1[[#This Row],[Valor Total]]/Tabela1[[#This Row],[Quantidade]]</f>
        <v>107.6</v>
      </c>
      <c r="K667" t="str">
        <f>TEXT(Tabela1[[#This Row],[Data]],"aaaa-mm")</f>
        <v>2024-12</v>
      </c>
    </row>
    <row r="668" spans="1:11">
      <c r="A668" s="1">
        <v>45658</v>
      </c>
      <c r="B668" t="s">
        <v>68</v>
      </c>
      <c r="C668" t="s">
        <v>5</v>
      </c>
      <c r="D668" t="s">
        <v>66</v>
      </c>
      <c r="E668">
        <v>8</v>
      </c>
      <c r="F668">
        <v>98.62</v>
      </c>
      <c r="G668" t="s">
        <v>14</v>
      </c>
      <c r="H668" t="s">
        <v>67</v>
      </c>
      <c r="I668">
        <v>788.96</v>
      </c>
      <c r="J668">
        <f>Tabela1[[#This Row],[Valor Total]]/Tabela1[[#This Row],[Quantidade]]</f>
        <v>98.62</v>
      </c>
      <c r="K668" t="str">
        <f>TEXT(Tabela1[[#This Row],[Data]],"aaaa-mm")</f>
        <v>2025-01</v>
      </c>
    </row>
    <row r="669" spans="1:11">
      <c r="A669" s="1">
        <v>45659</v>
      </c>
      <c r="B669" t="s">
        <v>68</v>
      </c>
      <c r="C669" t="s">
        <v>7</v>
      </c>
      <c r="D669" t="s">
        <v>73</v>
      </c>
      <c r="E669">
        <v>2</v>
      </c>
      <c r="F669">
        <v>499.75</v>
      </c>
      <c r="G669" t="s">
        <v>11</v>
      </c>
      <c r="H669" t="s">
        <v>64</v>
      </c>
      <c r="I669">
        <v>999.5</v>
      </c>
      <c r="J669">
        <f>Tabela1[[#This Row],[Valor Total]]/Tabela1[[#This Row],[Quantidade]]</f>
        <v>499.75</v>
      </c>
      <c r="K669" t="str">
        <f>TEXT(Tabela1[[#This Row],[Data]],"aaaa-mm")</f>
        <v>2025-01</v>
      </c>
    </row>
    <row r="670" spans="1:11">
      <c r="A670" s="1">
        <v>45660</v>
      </c>
      <c r="B670" t="s">
        <v>74</v>
      </c>
      <c r="C670" t="s">
        <v>5</v>
      </c>
      <c r="D670" t="s">
        <v>65</v>
      </c>
      <c r="E670">
        <v>3</v>
      </c>
      <c r="F670">
        <v>226.65</v>
      </c>
      <c r="G670" t="s">
        <v>15</v>
      </c>
      <c r="H670" t="s">
        <v>63</v>
      </c>
      <c r="I670">
        <v>679.95</v>
      </c>
      <c r="J670">
        <f>Tabela1[[#This Row],[Valor Total]]/Tabela1[[#This Row],[Quantidade]]</f>
        <v>226.65</v>
      </c>
      <c r="K670" t="str">
        <f>TEXT(Tabela1[[#This Row],[Data]],"aaaa-mm")</f>
        <v>2025-01</v>
      </c>
    </row>
    <row r="671" spans="1:11">
      <c r="A671" s="1">
        <v>45661</v>
      </c>
      <c r="B671" t="s">
        <v>61</v>
      </c>
      <c r="C671" t="s">
        <v>8</v>
      </c>
      <c r="D671" t="s">
        <v>73</v>
      </c>
      <c r="E671">
        <v>8</v>
      </c>
      <c r="F671">
        <v>297.33999999999997</v>
      </c>
      <c r="G671" t="s">
        <v>11</v>
      </c>
      <c r="H671" t="s">
        <v>63</v>
      </c>
      <c r="I671">
        <v>2378.7199999999998</v>
      </c>
      <c r="J671">
        <f>Tabela1[[#This Row],[Valor Total]]/Tabela1[[#This Row],[Quantidade]]</f>
        <v>297.33999999999997</v>
      </c>
      <c r="K671" t="str">
        <f>TEXT(Tabela1[[#This Row],[Data]],"aaaa-mm")</f>
        <v>2025-01</v>
      </c>
    </row>
    <row r="672" spans="1:11">
      <c r="A672" s="1">
        <v>45662</v>
      </c>
      <c r="B672" t="s">
        <v>68</v>
      </c>
      <c r="C672" t="s">
        <v>7</v>
      </c>
      <c r="D672" t="s">
        <v>62</v>
      </c>
      <c r="E672">
        <v>1</v>
      </c>
      <c r="F672">
        <v>474.22</v>
      </c>
      <c r="G672" t="s">
        <v>11</v>
      </c>
      <c r="H672" t="s">
        <v>63</v>
      </c>
      <c r="I672">
        <v>474.22</v>
      </c>
      <c r="J672">
        <f>Tabela1[[#This Row],[Valor Total]]/Tabela1[[#This Row],[Quantidade]]</f>
        <v>474.22</v>
      </c>
      <c r="K672" t="str">
        <f>TEXT(Tabela1[[#This Row],[Data]],"aaaa-mm")</f>
        <v>2025-01</v>
      </c>
    </row>
    <row r="673" spans="1:11">
      <c r="A673" s="1">
        <v>45663</v>
      </c>
      <c r="B673" t="s">
        <v>69</v>
      </c>
      <c r="C673" t="s">
        <v>8</v>
      </c>
      <c r="D673" t="s">
        <v>62</v>
      </c>
      <c r="E673">
        <v>6</v>
      </c>
      <c r="F673">
        <v>192.05</v>
      </c>
      <c r="G673" t="s">
        <v>15</v>
      </c>
      <c r="H673" t="s">
        <v>63</v>
      </c>
      <c r="I673">
        <v>1152.3</v>
      </c>
      <c r="J673">
        <f>Tabela1[[#This Row],[Valor Total]]/Tabela1[[#This Row],[Quantidade]]</f>
        <v>192.04999999999998</v>
      </c>
      <c r="K673" t="str">
        <f>TEXT(Tabela1[[#This Row],[Data]],"aaaa-mm")</f>
        <v>2025-01</v>
      </c>
    </row>
    <row r="674" spans="1:11">
      <c r="A674" s="1">
        <v>45664</v>
      </c>
      <c r="B674" t="s">
        <v>72</v>
      </c>
      <c r="C674" t="s">
        <v>8</v>
      </c>
      <c r="D674" t="s">
        <v>62</v>
      </c>
      <c r="E674">
        <v>7</v>
      </c>
      <c r="F674">
        <v>427.21</v>
      </c>
      <c r="G674" t="s">
        <v>12</v>
      </c>
      <c r="H674" t="s">
        <v>63</v>
      </c>
      <c r="I674">
        <v>2990.47</v>
      </c>
      <c r="J674">
        <f>Tabela1[[#This Row],[Valor Total]]/Tabela1[[#This Row],[Quantidade]]</f>
        <v>427.21</v>
      </c>
      <c r="K674" t="str">
        <f>TEXT(Tabela1[[#This Row],[Data]],"aaaa-mm")</f>
        <v>2025-01</v>
      </c>
    </row>
    <row r="675" spans="1:11">
      <c r="A675" s="1">
        <v>45665</v>
      </c>
      <c r="B675" t="s">
        <v>61</v>
      </c>
      <c r="C675" t="s">
        <v>7</v>
      </c>
      <c r="D675" t="s">
        <v>73</v>
      </c>
      <c r="E675">
        <v>3</v>
      </c>
      <c r="F675">
        <v>284.91000000000003</v>
      </c>
      <c r="G675" t="s">
        <v>13</v>
      </c>
      <c r="H675" t="s">
        <v>67</v>
      </c>
      <c r="I675">
        <v>854.73</v>
      </c>
      <c r="J675">
        <f>Tabela1[[#This Row],[Valor Total]]/Tabela1[[#This Row],[Quantidade]]</f>
        <v>284.91000000000003</v>
      </c>
      <c r="K675" t="str">
        <f>TEXT(Tabela1[[#This Row],[Data]],"aaaa-mm")</f>
        <v>2025-01</v>
      </c>
    </row>
    <row r="676" spans="1:11">
      <c r="A676" s="1">
        <v>45666</v>
      </c>
      <c r="B676" t="s">
        <v>68</v>
      </c>
      <c r="C676" t="s">
        <v>4</v>
      </c>
      <c r="D676" t="s">
        <v>65</v>
      </c>
      <c r="E676">
        <v>5</v>
      </c>
      <c r="F676">
        <v>197.43</v>
      </c>
      <c r="G676" t="s">
        <v>15</v>
      </c>
      <c r="H676" t="s">
        <v>71</v>
      </c>
      <c r="I676">
        <v>987.15000000000009</v>
      </c>
      <c r="J676">
        <f>Tabela1[[#This Row],[Valor Total]]/Tabela1[[#This Row],[Quantidade]]</f>
        <v>197.43</v>
      </c>
      <c r="K676" t="str">
        <f>TEXT(Tabela1[[#This Row],[Data]],"aaaa-mm")</f>
        <v>2025-01</v>
      </c>
    </row>
    <row r="677" spans="1:11">
      <c r="A677" s="1">
        <v>45667</v>
      </c>
      <c r="B677" t="s">
        <v>74</v>
      </c>
      <c r="C677" t="s">
        <v>8</v>
      </c>
      <c r="D677" t="s">
        <v>73</v>
      </c>
      <c r="E677">
        <v>2</v>
      </c>
      <c r="F677">
        <v>431.76</v>
      </c>
      <c r="G677" t="s">
        <v>14</v>
      </c>
      <c r="H677" t="s">
        <v>67</v>
      </c>
      <c r="I677">
        <v>863.52</v>
      </c>
      <c r="J677">
        <f>Tabela1[[#This Row],[Valor Total]]/Tabela1[[#This Row],[Quantidade]]</f>
        <v>431.76</v>
      </c>
      <c r="K677" t="str">
        <f>TEXT(Tabela1[[#This Row],[Data]],"aaaa-mm")</f>
        <v>2025-01</v>
      </c>
    </row>
    <row r="678" spans="1:11">
      <c r="A678" s="1">
        <v>45669</v>
      </c>
      <c r="B678" t="s">
        <v>68</v>
      </c>
      <c r="C678" t="s">
        <v>7</v>
      </c>
      <c r="D678" t="s">
        <v>66</v>
      </c>
      <c r="E678">
        <v>4</v>
      </c>
      <c r="F678">
        <v>392.33</v>
      </c>
      <c r="G678" t="s">
        <v>12</v>
      </c>
      <c r="H678" t="s">
        <v>67</v>
      </c>
      <c r="I678">
        <v>1569.32</v>
      </c>
      <c r="J678">
        <f>Tabela1[[#This Row],[Valor Total]]/Tabela1[[#This Row],[Quantidade]]</f>
        <v>392.33</v>
      </c>
      <c r="K678" t="str">
        <f>TEXT(Tabela1[[#This Row],[Data]],"aaaa-mm")</f>
        <v>2025-01</v>
      </c>
    </row>
    <row r="679" spans="1:11">
      <c r="A679" s="1">
        <v>45670</v>
      </c>
      <c r="B679" t="s">
        <v>74</v>
      </c>
      <c r="C679" t="s">
        <v>5</v>
      </c>
      <c r="D679" t="s">
        <v>65</v>
      </c>
      <c r="E679">
        <v>1</v>
      </c>
      <c r="F679">
        <v>410.22</v>
      </c>
      <c r="G679" t="s">
        <v>11</v>
      </c>
      <c r="H679" t="s">
        <v>71</v>
      </c>
      <c r="I679">
        <v>410.22</v>
      </c>
      <c r="J679">
        <f>Tabela1[[#This Row],[Valor Total]]/Tabela1[[#This Row],[Quantidade]]</f>
        <v>410.22</v>
      </c>
      <c r="K679" t="str">
        <f>TEXT(Tabela1[[#This Row],[Data]],"aaaa-mm")</f>
        <v>2025-01</v>
      </c>
    </row>
    <row r="680" spans="1:11">
      <c r="A680" s="1">
        <v>45671</v>
      </c>
      <c r="B680" t="s">
        <v>61</v>
      </c>
      <c r="C680" t="s">
        <v>5</v>
      </c>
      <c r="D680" t="s">
        <v>73</v>
      </c>
      <c r="E680">
        <v>3</v>
      </c>
      <c r="F680">
        <v>121.19</v>
      </c>
      <c r="G680" t="s">
        <v>12</v>
      </c>
      <c r="H680" t="s">
        <v>71</v>
      </c>
      <c r="I680">
        <v>363.57</v>
      </c>
      <c r="J680">
        <f>Tabela1[[#This Row],[Valor Total]]/Tabela1[[#This Row],[Quantidade]]</f>
        <v>121.19</v>
      </c>
      <c r="K680" t="str">
        <f>TEXT(Tabela1[[#This Row],[Data]],"aaaa-mm")</f>
        <v>2025-01</v>
      </c>
    </row>
    <row r="681" spans="1:11">
      <c r="A681" s="1">
        <v>45672</v>
      </c>
      <c r="B681" t="s">
        <v>69</v>
      </c>
      <c r="C681" t="s">
        <v>4</v>
      </c>
      <c r="D681" t="s">
        <v>66</v>
      </c>
      <c r="E681">
        <v>3</v>
      </c>
      <c r="F681">
        <v>312.97000000000003</v>
      </c>
      <c r="G681" t="s">
        <v>14</v>
      </c>
      <c r="H681" t="s">
        <v>71</v>
      </c>
      <c r="I681">
        <v>938.91000000000008</v>
      </c>
      <c r="J681">
        <f>Tabela1[[#This Row],[Valor Total]]/Tabela1[[#This Row],[Quantidade]]</f>
        <v>312.97000000000003</v>
      </c>
      <c r="K681" t="str">
        <f>TEXT(Tabela1[[#This Row],[Data]],"aaaa-mm")</f>
        <v>2025-01</v>
      </c>
    </row>
    <row r="682" spans="1:11">
      <c r="A682" s="1">
        <v>45673</v>
      </c>
      <c r="B682" t="s">
        <v>69</v>
      </c>
      <c r="C682" t="s">
        <v>6</v>
      </c>
      <c r="D682" t="s">
        <v>66</v>
      </c>
      <c r="E682">
        <v>4</v>
      </c>
      <c r="F682">
        <v>425.7</v>
      </c>
      <c r="G682" t="s">
        <v>14</v>
      </c>
      <c r="H682" t="s">
        <v>63</v>
      </c>
      <c r="I682">
        <v>1702.8</v>
      </c>
      <c r="J682">
        <f>Tabela1[[#This Row],[Valor Total]]/Tabela1[[#This Row],[Quantidade]]</f>
        <v>425.7</v>
      </c>
      <c r="K682" t="str">
        <f>TEXT(Tabela1[[#This Row],[Data]],"aaaa-mm")</f>
        <v>2025-01</v>
      </c>
    </row>
    <row r="683" spans="1:11">
      <c r="A683" s="1">
        <v>45674</v>
      </c>
      <c r="B683" t="s">
        <v>69</v>
      </c>
      <c r="C683" t="s">
        <v>5</v>
      </c>
      <c r="D683" t="s">
        <v>62</v>
      </c>
      <c r="E683">
        <v>1</v>
      </c>
      <c r="F683">
        <v>457.17</v>
      </c>
      <c r="G683" t="s">
        <v>11</v>
      </c>
      <c r="H683" t="s">
        <v>67</v>
      </c>
      <c r="I683">
        <v>457.17</v>
      </c>
      <c r="J683">
        <f>Tabela1[[#This Row],[Valor Total]]/Tabela1[[#This Row],[Quantidade]]</f>
        <v>457.17</v>
      </c>
      <c r="K683" t="str">
        <f>TEXT(Tabela1[[#This Row],[Data]],"aaaa-mm")</f>
        <v>2025-01</v>
      </c>
    </row>
    <row r="684" spans="1:11">
      <c r="A684" s="1">
        <v>45675</v>
      </c>
      <c r="B684" t="s">
        <v>74</v>
      </c>
      <c r="C684" t="s">
        <v>5</v>
      </c>
      <c r="D684" t="s">
        <v>70</v>
      </c>
      <c r="E684">
        <v>6</v>
      </c>
      <c r="F684">
        <v>31.74</v>
      </c>
      <c r="G684" t="s">
        <v>14</v>
      </c>
      <c r="H684" t="s">
        <v>63</v>
      </c>
      <c r="I684">
        <v>190.44</v>
      </c>
      <c r="J684">
        <f>Tabela1[[#This Row],[Valor Total]]/Tabela1[[#This Row],[Quantidade]]</f>
        <v>31.74</v>
      </c>
      <c r="K684" t="str">
        <f>TEXT(Tabela1[[#This Row],[Data]],"aaaa-mm")</f>
        <v>2025-01</v>
      </c>
    </row>
    <row r="685" spans="1:11">
      <c r="A685" s="1">
        <v>45676</v>
      </c>
      <c r="B685" t="s">
        <v>74</v>
      </c>
      <c r="C685" t="s">
        <v>7</v>
      </c>
      <c r="D685" t="s">
        <v>66</v>
      </c>
      <c r="E685">
        <v>9</v>
      </c>
      <c r="F685">
        <v>300.32</v>
      </c>
      <c r="G685" t="s">
        <v>12</v>
      </c>
      <c r="H685" t="s">
        <v>67</v>
      </c>
      <c r="I685">
        <v>2702.88</v>
      </c>
      <c r="J685">
        <f>Tabela1[[#This Row],[Valor Total]]/Tabela1[[#This Row],[Quantidade]]</f>
        <v>300.32</v>
      </c>
      <c r="K685" t="str">
        <f>TEXT(Tabela1[[#This Row],[Data]],"aaaa-mm")</f>
        <v>2025-01</v>
      </c>
    </row>
    <row r="686" spans="1:11">
      <c r="A686" s="1">
        <v>45677</v>
      </c>
      <c r="B686" t="s">
        <v>72</v>
      </c>
      <c r="C686" t="s">
        <v>6</v>
      </c>
      <c r="D686" t="s">
        <v>65</v>
      </c>
      <c r="E686">
        <v>5</v>
      </c>
      <c r="F686">
        <v>376.02</v>
      </c>
      <c r="G686" t="s">
        <v>12</v>
      </c>
      <c r="H686" t="s">
        <v>63</v>
      </c>
      <c r="I686">
        <v>1880.1</v>
      </c>
      <c r="J686">
        <f>Tabela1[[#This Row],[Valor Total]]/Tabela1[[#This Row],[Quantidade]]</f>
        <v>376.02</v>
      </c>
      <c r="K686" t="str">
        <f>TEXT(Tabela1[[#This Row],[Data]],"aaaa-mm")</f>
        <v>2025-01</v>
      </c>
    </row>
    <row r="687" spans="1:11">
      <c r="A687" s="1">
        <v>45678</v>
      </c>
      <c r="B687" t="s">
        <v>61</v>
      </c>
      <c r="C687" t="s">
        <v>7</v>
      </c>
      <c r="D687" t="s">
        <v>65</v>
      </c>
      <c r="E687">
        <v>6</v>
      </c>
      <c r="F687">
        <v>294.51</v>
      </c>
      <c r="G687" t="s">
        <v>15</v>
      </c>
      <c r="H687" t="s">
        <v>67</v>
      </c>
      <c r="I687">
        <v>1767.06</v>
      </c>
      <c r="J687">
        <f>Tabela1[[#This Row],[Valor Total]]/Tabela1[[#This Row],[Quantidade]]</f>
        <v>294.51</v>
      </c>
      <c r="K687" t="str">
        <f>TEXT(Tabela1[[#This Row],[Data]],"aaaa-mm")</f>
        <v>2025-01</v>
      </c>
    </row>
    <row r="688" spans="1:11">
      <c r="A688" s="1">
        <v>45680</v>
      </c>
      <c r="B688" t="s">
        <v>72</v>
      </c>
      <c r="C688" t="s">
        <v>6</v>
      </c>
      <c r="D688" t="s">
        <v>70</v>
      </c>
      <c r="E688">
        <v>4</v>
      </c>
      <c r="F688">
        <v>439.13</v>
      </c>
      <c r="G688" t="s">
        <v>11</v>
      </c>
      <c r="H688" t="s">
        <v>67</v>
      </c>
      <c r="I688">
        <v>1756.52</v>
      </c>
      <c r="J688">
        <f>Tabela1[[#This Row],[Valor Total]]/Tabela1[[#This Row],[Quantidade]]</f>
        <v>439.13</v>
      </c>
      <c r="K688" t="str">
        <f>TEXT(Tabela1[[#This Row],[Data]],"aaaa-mm")</f>
        <v>2025-01</v>
      </c>
    </row>
    <row r="689" spans="1:11">
      <c r="A689" s="1">
        <v>45681</v>
      </c>
      <c r="B689" t="s">
        <v>72</v>
      </c>
      <c r="C689" t="s">
        <v>5</v>
      </c>
      <c r="D689" t="s">
        <v>66</v>
      </c>
      <c r="E689">
        <v>4</v>
      </c>
      <c r="F689">
        <v>446.51</v>
      </c>
      <c r="G689" t="s">
        <v>15</v>
      </c>
      <c r="H689" t="s">
        <v>64</v>
      </c>
      <c r="I689">
        <v>1786.04</v>
      </c>
      <c r="J689">
        <f>Tabela1[[#This Row],[Valor Total]]/Tabela1[[#This Row],[Quantidade]]</f>
        <v>446.51</v>
      </c>
      <c r="K689" t="str">
        <f>TEXT(Tabela1[[#This Row],[Data]],"aaaa-mm")</f>
        <v>2025-01</v>
      </c>
    </row>
    <row r="690" spans="1:11">
      <c r="A690" s="1">
        <v>45682</v>
      </c>
      <c r="B690" t="s">
        <v>61</v>
      </c>
      <c r="C690" t="s">
        <v>8</v>
      </c>
      <c r="D690" t="s">
        <v>65</v>
      </c>
      <c r="E690">
        <v>2</v>
      </c>
      <c r="F690">
        <v>332.97</v>
      </c>
      <c r="G690" t="s">
        <v>15</v>
      </c>
      <c r="H690" t="s">
        <v>63</v>
      </c>
      <c r="I690">
        <v>665.94</v>
      </c>
      <c r="J690">
        <f>Tabela1[[#This Row],[Valor Total]]/Tabela1[[#This Row],[Quantidade]]</f>
        <v>332.97</v>
      </c>
      <c r="K690" t="str">
        <f>TEXT(Tabela1[[#This Row],[Data]],"aaaa-mm")</f>
        <v>2025-01</v>
      </c>
    </row>
    <row r="691" spans="1:11">
      <c r="A691" s="1">
        <v>45683</v>
      </c>
      <c r="B691" t="s">
        <v>61</v>
      </c>
      <c r="C691" t="s">
        <v>7</v>
      </c>
      <c r="D691" t="s">
        <v>66</v>
      </c>
      <c r="E691">
        <v>9</v>
      </c>
      <c r="F691">
        <v>68.25</v>
      </c>
      <c r="G691" t="s">
        <v>13</v>
      </c>
      <c r="H691" t="s">
        <v>63</v>
      </c>
      <c r="I691">
        <v>614.25</v>
      </c>
      <c r="J691">
        <f>Tabela1[[#This Row],[Valor Total]]/Tabela1[[#This Row],[Quantidade]]</f>
        <v>68.25</v>
      </c>
      <c r="K691" t="str">
        <f>TEXT(Tabela1[[#This Row],[Data]],"aaaa-mm")</f>
        <v>2025-01</v>
      </c>
    </row>
    <row r="692" spans="1:11">
      <c r="A692" s="1">
        <v>45684</v>
      </c>
      <c r="B692" t="s">
        <v>72</v>
      </c>
      <c r="C692" t="s">
        <v>8</v>
      </c>
      <c r="D692" t="s">
        <v>66</v>
      </c>
      <c r="E692">
        <v>9</v>
      </c>
      <c r="F692">
        <v>261.36</v>
      </c>
      <c r="G692" t="s">
        <v>15</v>
      </c>
      <c r="H692" t="s">
        <v>71</v>
      </c>
      <c r="I692">
        <v>2352.2399999999998</v>
      </c>
      <c r="J692">
        <f>Tabela1[[#This Row],[Valor Total]]/Tabela1[[#This Row],[Quantidade]]</f>
        <v>261.35999999999996</v>
      </c>
      <c r="K692" t="str">
        <f>TEXT(Tabela1[[#This Row],[Data]],"aaaa-mm")</f>
        <v>2025-01</v>
      </c>
    </row>
    <row r="693" spans="1:11">
      <c r="A693" s="1">
        <v>45685</v>
      </c>
      <c r="B693" t="s">
        <v>68</v>
      </c>
      <c r="C693" t="s">
        <v>7</v>
      </c>
      <c r="D693" t="s">
        <v>73</v>
      </c>
      <c r="E693">
        <v>5</v>
      </c>
      <c r="F693">
        <v>290.41000000000003</v>
      </c>
      <c r="G693" t="s">
        <v>14</v>
      </c>
      <c r="H693" t="s">
        <v>67</v>
      </c>
      <c r="I693">
        <v>1452.05</v>
      </c>
      <c r="J693">
        <f>Tabela1[[#This Row],[Valor Total]]/Tabela1[[#This Row],[Quantidade]]</f>
        <v>290.40999999999997</v>
      </c>
      <c r="K693" t="str">
        <f>TEXT(Tabela1[[#This Row],[Data]],"aaaa-mm")</f>
        <v>2025-01</v>
      </c>
    </row>
    <row r="694" spans="1:11">
      <c r="A694" s="1">
        <v>45686</v>
      </c>
      <c r="B694" t="s">
        <v>69</v>
      </c>
      <c r="C694" t="s">
        <v>6</v>
      </c>
      <c r="D694" t="s">
        <v>66</v>
      </c>
      <c r="E694">
        <v>5</v>
      </c>
      <c r="F694">
        <v>67.98</v>
      </c>
      <c r="G694" t="s">
        <v>14</v>
      </c>
      <c r="H694" t="s">
        <v>67</v>
      </c>
      <c r="I694">
        <v>339.9</v>
      </c>
      <c r="J694">
        <f>Tabela1[[#This Row],[Valor Total]]/Tabela1[[#This Row],[Quantidade]]</f>
        <v>67.97999999999999</v>
      </c>
      <c r="K694" t="str">
        <f>TEXT(Tabela1[[#This Row],[Data]],"aaaa-mm")</f>
        <v>2025-01</v>
      </c>
    </row>
    <row r="695" spans="1:11">
      <c r="A695" s="1">
        <v>45687</v>
      </c>
      <c r="B695" t="s">
        <v>72</v>
      </c>
      <c r="C695" t="s">
        <v>6</v>
      </c>
      <c r="D695" t="s">
        <v>66</v>
      </c>
      <c r="E695">
        <v>4</v>
      </c>
      <c r="F695">
        <v>29.41</v>
      </c>
      <c r="G695" t="s">
        <v>15</v>
      </c>
      <c r="H695" t="s">
        <v>71</v>
      </c>
      <c r="I695">
        <v>117.64</v>
      </c>
      <c r="J695">
        <f>Tabela1[[#This Row],[Valor Total]]/Tabela1[[#This Row],[Quantidade]]</f>
        <v>29.41</v>
      </c>
      <c r="K695" t="str">
        <f>TEXT(Tabela1[[#This Row],[Data]],"aaaa-mm")</f>
        <v>2025-01</v>
      </c>
    </row>
    <row r="696" spans="1:11">
      <c r="A696" s="1">
        <v>45688</v>
      </c>
      <c r="B696" t="s">
        <v>74</v>
      </c>
      <c r="C696" t="s">
        <v>8</v>
      </c>
      <c r="D696" t="s">
        <v>62</v>
      </c>
      <c r="E696">
        <v>1</v>
      </c>
      <c r="F696">
        <v>297.45999999999998</v>
      </c>
      <c r="G696" t="s">
        <v>11</v>
      </c>
      <c r="H696" t="s">
        <v>71</v>
      </c>
      <c r="I696">
        <v>297.45999999999998</v>
      </c>
      <c r="J696">
        <f>Tabela1[[#This Row],[Valor Total]]/Tabela1[[#This Row],[Quantidade]]</f>
        <v>297.45999999999998</v>
      </c>
      <c r="K696" t="str">
        <f>TEXT(Tabela1[[#This Row],[Data]],"aaaa-mm")</f>
        <v>2025-01</v>
      </c>
    </row>
    <row r="697" spans="1:11">
      <c r="A697" s="1">
        <v>45689</v>
      </c>
      <c r="B697" t="s">
        <v>61</v>
      </c>
      <c r="C697" t="s">
        <v>7</v>
      </c>
      <c r="D697" t="s">
        <v>66</v>
      </c>
      <c r="E697">
        <v>9</v>
      </c>
      <c r="F697">
        <v>255.45</v>
      </c>
      <c r="G697" t="s">
        <v>15</v>
      </c>
      <c r="H697" t="s">
        <v>63</v>
      </c>
      <c r="I697">
        <v>2299.0500000000002</v>
      </c>
      <c r="J697">
        <f>Tabela1[[#This Row],[Valor Total]]/Tabela1[[#This Row],[Quantidade]]</f>
        <v>255.45000000000002</v>
      </c>
      <c r="K697" t="str">
        <f>TEXT(Tabela1[[#This Row],[Data]],"aaaa-mm")</f>
        <v>2025-02</v>
      </c>
    </row>
    <row r="698" spans="1:11">
      <c r="A698" s="1">
        <v>45690</v>
      </c>
      <c r="B698" t="s">
        <v>68</v>
      </c>
      <c r="C698" t="s">
        <v>6</v>
      </c>
      <c r="D698" t="s">
        <v>62</v>
      </c>
      <c r="E698">
        <v>2</v>
      </c>
      <c r="F698">
        <v>151.31</v>
      </c>
      <c r="G698" t="s">
        <v>13</v>
      </c>
      <c r="H698" t="s">
        <v>67</v>
      </c>
      <c r="I698">
        <v>302.62</v>
      </c>
      <c r="J698">
        <f>Tabela1[[#This Row],[Valor Total]]/Tabela1[[#This Row],[Quantidade]]</f>
        <v>151.31</v>
      </c>
      <c r="K698" t="str">
        <f>TEXT(Tabela1[[#This Row],[Data]],"aaaa-mm")</f>
        <v>2025-02</v>
      </c>
    </row>
    <row r="699" spans="1:11">
      <c r="A699" s="1">
        <v>45692</v>
      </c>
      <c r="B699" t="s">
        <v>61</v>
      </c>
      <c r="C699" t="s">
        <v>5</v>
      </c>
      <c r="D699" t="s">
        <v>70</v>
      </c>
      <c r="E699">
        <v>1</v>
      </c>
      <c r="F699">
        <v>332.19</v>
      </c>
      <c r="G699" t="s">
        <v>15</v>
      </c>
      <c r="H699" t="s">
        <v>64</v>
      </c>
      <c r="I699">
        <v>332.19</v>
      </c>
      <c r="J699">
        <f>Tabela1[[#This Row],[Valor Total]]/Tabela1[[#This Row],[Quantidade]]</f>
        <v>332.19</v>
      </c>
      <c r="K699" t="str">
        <f>TEXT(Tabela1[[#This Row],[Data]],"aaaa-mm")</f>
        <v>2025-02</v>
      </c>
    </row>
    <row r="700" spans="1:11">
      <c r="A700" s="1">
        <v>45693</v>
      </c>
      <c r="B700" t="s">
        <v>69</v>
      </c>
      <c r="C700" t="s">
        <v>4</v>
      </c>
      <c r="D700" t="s">
        <v>73</v>
      </c>
      <c r="E700">
        <v>4</v>
      </c>
      <c r="F700">
        <v>436.35</v>
      </c>
      <c r="G700" t="s">
        <v>15</v>
      </c>
      <c r="H700" t="s">
        <v>67</v>
      </c>
      <c r="I700">
        <v>1745.4</v>
      </c>
      <c r="J700">
        <f>Tabela1[[#This Row],[Valor Total]]/Tabela1[[#This Row],[Quantidade]]</f>
        <v>436.35</v>
      </c>
      <c r="K700" t="str">
        <f>TEXT(Tabela1[[#This Row],[Data]],"aaaa-mm")</f>
        <v>2025-02</v>
      </c>
    </row>
    <row r="701" spans="1:11">
      <c r="A701" s="1">
        <v>45694</v>
      </c>
      <c r="B701" t="s">
        <v>61</v>
      </c>
      <c r="C701" t="s">
        <v>6</v>
      </c>
      <c r="D701" t="s">
        <v>73</v>
      </c>
      <c r="E701">
        <v>8</v>
      </c>
      <c r="F701">
        <v>432.6</v>
      </c>
      <c r="G701" t="s">
        <v>14</v>
      </c>
      <c r="H701" t="s">
        <v>67</v>
      </c>
      <c r="I701">
        <v>3460.8</v>
      </c>
      <c r="J701">
        <f>Tabela1[[#This Row],[Valor Total]]/Tabela1[[#This Row],[Quantidade]]</f>
        <v>432.6</v>
      </c>
      <c r="K701" t="str">
        <f>TEXT(Tabela1[[#This Row],[Data]],"aaaa-mm")</f>
        <v>2025-02</v>
      </c>
    </row>
    <row r="702" spans="1:11">
      <c r="A702" s="1">
        <v>45695</v>
      </c>
      <c r="B702" t="s">
        <v>74</v>
      </c>
      <c r="C702" t="s">
        <v>5</v>
      </c>
      <c r="D702" t="s">
        <v>73</v>
      </c>
      <c r="E702">
        <v>7</v>
      </c>
      <c r="F702">
        <v>264.5</v>
      </c>
      <c r="G702" t="s">
        <v>14</v>
      </c>
      <c r="H702" t="s">
        <v>64</v>
      </c>
      <c r="I702">
        <v>1851.5</v>
      </c>
      <c r="J702">
        <f>Tabela1[[#This Row],[Valor Total]]/Tabela1[[#This Row],[Quantidade]]</f>
        <v>264.5</v>
      </c>
      <c r="K702" t="str">
        <f>TEXT(Tabela1[[#This Row],[Data]],"aaaa-mm")</f>
        <v>2025-02</v>
      </c>
    </row>
    <row r="703" spans="1:11">
      <c r="A703" s="1">
        <v>45696</v>
      </c>
      <c r="B703" t="s">
        <v>61</v>
      </c>
      <c r="C703" t="s">
        <v>5</v>
      </c>
      <c r="D703" t="s">
        <v>65</v>
      </c>
      <c r="E703">
        <v>8</v>
      </c>
      <c r="F703">
        <v>257.06</v>
      </c>
      <c r="G703" t="s">
        <v>13</v>
      </c>
      <c r="H703" t="s">
        <v>63</v>
      </c>
      <c r="I703">
        <v>2056.48</v>
      </c>
      <c r="J703">
        <f>Tabela1[[#This Row],[Valor Total]]/Tabela1[[#This Row],[Quantidade]]</f>
        <v>257.06</v>
      </c>
      <c r="K703" t="str">
        <f>TEXT(Tabela1[[#This Row],[Data]],"aaaa-mm")</f>
        <v>2025-02</v>
      </c>
    </row>
    <row r="704" spans="1:11">
      <c r="A704" s="1">
        <v>45697</v>
      </c>
      <c r="B704" t="s">
        <v>61</v>
      </c>
      <c r="C704" t="s">
        <v>5</v>
      </c>
      <c r="D704" t="s">
        <v>65</v>
      </c>
      <c r="E704">
        <v>5</v>
      </c>
      <c r="F704">
        <v>154.87</v>
      </c>
      <c r="G704" t="s">
        <v>12</v>
      </c>
      <c r="H704" t="s">
        <v>63</v>
      </c>
      <c r="I704">
        <v>774.35</v>
      </c>
      <c r="J704">
        <f>Tabela1[[#This Row],[Valor Total]]/Tabela1[[#This Row],[Quantidade]]</f>
        <v>154.87</v>
      </c>
      <c r="K704" t="str">
        <f>TEXT(Tabela1[[#This Row],[Data]],"aaaa-mm")</f>
        <v>2025-02</v>
      </c>
    </row>
    <row r="705" spans="1:11">
      <c r="A705" s="1">
        <v>45698</v>
      </c>
      <c r="B705" t="s">
        <v>69</v>
      </c>
      <c r="C705" t="s">
        <v>5</v>
      </c>
      <c r="D705" t="s">
        <v>66</v>
      </c>
      <c r="E705">
        <v>8</v>
      </c>
      <c r="F705">
        <v>122.33</v>
      </c>
      <c r="G705" t="s">
        <v>13</v>
      </c>
      <c r="H705" t="s">
        <v>64</v>
      </c>
      <c r="I705">
        <v>978.64</v>
      </c>
      <c r="J705">
        <f>Tabela1[[#This Row],[Valor Total]]/Tabela1[[#This Row],[Quantidade]]</f>
        <v>122.33</v>
      </c>
      <c r="K705" t="str">
        <f>TEXT(Tabela1[[#This Row],[Data]],"aaaa-mm")</f>
        <v>2025-02</v>
      </c>
    </row>
    <row r="706" spans="1:11">
      <c r="A706" s="1">
        <v>45699</v>
      </c>
      <c r="B706" t="s">
        <v>61</v>
      </c>
      <c r="C706" t="s">
        <v>8</v>
      </c>
      <c r="D706" t="s">
        <v>66</v>
      </c>
      <c r="E706">
        <v>1</v>
      </c>
      <c r="F706">
        <v>71.23</v>
      </c>
      <c r="G706" t="s">
        <v>14</v>
      </c>
      <c r="H706" t="s">
        <v>71</v>
      </c>
      <c r="I706">
        <v>71.23</v>
      </c>
      <c r="J706">
        <f>Tabela1[[#This Row],[Valor Total]]/Tabela1[[#This Row],[Quantidade]]</f>
        <v>71.23</v>
      </c>
      <c r="K706" t="str">
        <f>TEXT(Tabela1[[#This Row],[Data]],"aaaa-mm")</f>
        <v>2025-02</v>
      </c>
    </row>
    <row r="707" spans="1:11">
      <c r="A707" s="1">
        <v>45700</v>
      </c>
      <c r="B707" t="s">
        <v>74</v>
      </c>
      <c r="C707" t="s">
        <v>5</v>
      </c>
      <c r="D707" t="s">
        <v>70</v>
      </c>
      <c r="E707">
        <v>3</v>
      </c>
      <c r="F707">
        <v>56.91</v>
      </c>
      <c r="G707" t="s">
        <v>11</v>
      </c>
      <c r="H707" t="s">
        <v>64</v>
      </c>
      <c r="I707">
        <v>170.73</v>
      </c>
      <c r="J707">
        <f>Tabela1[[#This Row],[Valor Total]]/Tabela1[[#This Row],[Quantidade]]</f>
        <v>56.91</v>
      </c>
      <c r="K707" t="str">
        <f>TEXT(Tabela1[[#This Row],[Data]],"aaaa-mm")</f>
        <v>2025-02</v>
      </c>
    </row>
    <row r="708" spans="1:11">
      <c r="A708" s="1">
        <v>45701</v>
      </c>
      <c r="B708" t="s">
        <v>69</v>
      </c>
      <c r="C708" t="s">
        <v>7</v>
      </c>
      <c r="D708" t="s">
        <v>62</v>
      </c>
      <c r="E708">
        <v>8</v>
      </c>
      <c r="F708">
        <v>20.079999999999998</v>
      </c>
      <c r="G708" t="s">
        <v>12</v>
      </c>
      <c r="H708" t="s">
        <v>64</v>
      </c>
      <c r="I708">
        <v>160.63999999999999</v>
      </c>
      <c r="J708">
        <f>Tabela1[[#This Row],[Valor Total]]/Tabela1[[#This Row],[Quantidade]]</f>
        <v>20.079999999999998</v>
      </c>
      <c r="K708" t="str">
        <f>TEXT(Tabela1[[#This Row],[Data]],"aaaa-mm")</f>
        <v>2025-02</v>
      </c>
    </row>
    <row r="709" spans="1:11">
      <c r="A709" s="1">
        <v>45703</v>
      </c>
      <c r="B709" t="s">
        <v>72</v>
      </c>
      <c r="C709" t="s">
        <v>8</v>
      </c>
      <c r="D709" t="s">
        <v>73</v>
      </c>
      <c r="E709">
        <v>2</v>
      </c>
      <c r="F709">
        <v>34.94</v>
      </c>
      <c r="G709" t="s">
        <v>12</v>
      </c>
      <c r="H709" t="s">
        <v>63</v>
      </c>
      <c r="I709">
        <v>69.88</v>
      </c>
      <c r="J709">
        <f>Tabela1[[#This Row],[Valor Total]]/Tabela1[[#This Row],[Quantidade]]</f>
        <v>34.94</v>
      </c>
      <c r="K709" t="str">
        <f>TEXT(Tabela1[[#This Row],[Data]],"aaaa-mm")</f>
        <v>2025-02</v>
      </c>
    </row>
    <row r="710" spans="1:11">
      <c r="A710" s="1">
        <v>45704</v>
      </c>
      <c r="B710" t="s">
        <v>61</v>
      </c>
      <c r="C710" t="s">
        <v>6</v>
      </c>
      <c r="D710" t="s">
        <v>65</v>
      </c>
      <c r="E710">
        <v>6</v>
      </c>
      <c r="F710">
        <v>145.44999999999999</v>
      </c>
      <c r="G710" t="s">
        <v>15</v>
      </c>
      <c r="H710" t="s">
        <v>67</v>
      </c>
      <c r="I710">
        <v>872.69999999999993</v>
      </c>
      <c r="J710">
        <f>Tabela1[[#This Row],[Valor Total]]/Tabela1[[#This Row],[Quantidade]]</f>
        <v>145.44999999999999</v>
      </c>
      <c r="K710" t="str">
        <f>TEXT(Tabela1[[#This Row],[Data]],"aaaa-mm")</f>
        <v>2025-02</v>
      </c>
    </row>
    <row r="711" spans="1:11">
      <c r="A711" s="1">
        <v>45705</v>
      </c>
      <c r="B711" t="s">
        <v>74</v>
      </c>
      <c r="C711" t="s">
        <v>8</v>
      </c>
      <c r="D711" t="s">
        <v>65</v>
      </c>
      <c r="E711">
        <v>5</v>
      </c>
      <c r="F711">
        <v>361.58</v>
      </c>
      <c r="G711" t="s">
        <v>13</v>
      </c>
      <c r="H711" t="s">
        <v>71</v>
      </c>
      <c r="I711">
        <v>1807.9</v>
      </c>
      <c r="J711">
        <f>Tabela1[[#This Row],[Valor Total]]/Tabela1[[#This Row],[Quantidade]]</f>
        <v>361.58000000000004</v>
      </c>
      <c r="K711" t="str">
        <f>TEXT(Tabela1[[#This Row],[Data]],"aaaa-mm")</f>
        <v>2025-02</v>
      </c>
    </row>
    <row r="712" spans="1:11">
      <c r="A712" s="1">
        <v>45706</v>
      </c>
      <c r="B712" t="s">
        <v>74</v>
      </c>
      <c r="C712" t="s">
        <v>5</v>
      </c>
      <c r="D712" t="s">
        <v>62</v>
      </c>
      <c r="E712">
        <v>2</v>
      </c>
      <c r="F712">
        <v>132.6</v>
      </c>
      <c r="G712" t="s">
        <v>13</v>
      </c>
      <c r="H712" t="s">
        <v>67</v>
      </c>
      <c r="I712">
        <v>265.2</v>
      </c>
      <c r="J712">
        <f>Tabela1[[#This Row],[Valor Total]]/Tabela1[[#This Row],[Quantidade]]</f>
        <v>132.6</v>
      </c>
      <c r="K712" t="str">
        <f>TEXT(Tabela1[[#This Row],[Data]],"aaaa-mm")</f>
        <v>2025-02</v>
      </c>
    </row>
    <row r="713" spans="1:11">
      <c r="A713" s="1">
        <v>45707</v>
      </c>
      <c r="B713" t="s">
        <v>61</v>
      </c>
      <c r="C713" t="s">
        <v>5</v>
      </c>
      <c r="D713" t="s">
        <v>62</v>
      </c>
      <c r="E713">
        <v>2</v>
      </c>
      <c r="F713">
        <v>228.66</v>
      </c>
      <c r="G713" t="s">
        <v>14</v>
      </c>
      <c r="H713" t="s">
        <v>63</v>
      </c>
      <c r="I713">
        <v>457.32</v>
      </c>
      <c r="J713">
        <f>Tabela1[[#This Row],[Valor Total]]/Tabela1[[#This Row],[Quantidade]]</f>
        <v>228.66</v>
      </c>
      <c r="K713" t="str">
        <f>TEXT(Tabela1[[#This Row],[Data]],"aaaa-mm")</f>
        <v>2025-02</v>
      </c>
    </row>
    <row r="714" spans="1:11">
      <c r="A714" s="1">
        <v>45708</v>
      </c>
      <c r="B714" t="s">
        <v>61</v>
      </c>
      <c r="C714" t="s">
        <v>7</v>
      </c>
      <c r="D714" t="s">
        <v>70</v>
      </c>
      <c r="E714">
        <v>8</v>
      </c>
      <c r="F714">
        <v>237.73</v>
      </c>
      <c r="G714" t="s">
        <v>13</v>
      </c>
      <c r="H714" t="s">
        <v>71</v>
      </c>
      <c r="I714">
        <v>1901.84</v>
      </c>
      <c r="J714">
        <f>Tabela1[[#This Row],[Valor Total]]/Tabela1[[#This Row],[Quantidade]]</f>
        <v>237.73</v>
      </c>
      <c r="K714" t="str">
        <f>TEXT(Tabela1[[#This Row],[Data]],"aaaa-mm")</f>
        <v>2025-02</v>
      </c>
    </row>
    <row r="715" spans="1:11">
      <c r="A715" s="1">
        <v>45709</v>
      </c>
      <c r="B715" t="s">
        <v>72</v>
      </c>
      <c r="C715" t="s">
        <v>5</v>
      </c>
      <c r="D715" t="s">
        <v>62</v>
      </c>
      <c r="E715">
        <v>1</v>
      </c>
      <c r="F715">
        <v>345.81</v>
      </c>
      <c r="G715" t="s">
        <v>14</v>
      </c>
      <c r="H715" t="s">
        <v>63</v>
      </c>
      <c r="I715">
        <v>345.81</v>
      </c>
      <c r="J715">
        <f>Tabela1[[#This Row],[Valor Total]]/Tabela1[[#This Row],[Quantidade]]</f>
        <v>345.81</v>
      </c>
      <c r="K715" t="str">
        <f>TEXT(Tabela1[[#This Row],[Data]],"aaaa-mm")</f>
        <v>2025-02</v>
      </c>
    </row>
    <row r="716" spans="1:11">
      <c r="A716" s="1">
        <v>45710</v>
      </c>
      <c r="B716" t="s">
        <v>68</v>
      </c>
      <c r="C716" t="s">
        <v>4</v>
      </c>
      <c r="D716" t="s">
        <v>62</v>
      </c>
      <c r="E716">
        <v>3</v>
      </c>
      <c r="F716">
        <v>327.63</v>
      </c>
      <c r="G716" t="s">
        <v>13</v>
      </c>
      <c r="H716" t="s">
        <v>67</v>
      </c>
      <c r="I716">
        <v>982.89</v>
      </c>
      <c r="J716">
        <f>Tabela1[[#This Row],[Valor Total]]/Tabela1[[#This Row],[Quantidade]]</f>
        <v>327.63</v>
      </c>
      <c r="K716" t="str">
        <f>TEXT(Tabela1[[#This Row],[Data]],"aaaa-mm")</f>
        <v>2025-02</v>
      </c>
    </row>
    <row r="717" spans="1:11">
      <c r="A717" s="1">
        <v>45711</v>
      </c>
      <c r="B717" t="s">
        <v>69</v>
      </c>
      <c r="C717" t="s">
        <v>8</v>
      </c>
      <c r="D717" t="s">
        <v>73</v>
      </c>
      <c r="E717">
        <v>7</v>
      </c>
      <c r="F717">
        <v>60.91</v>
      </c>
      <c r="G717" t="s">
        <v>13</v>
      </c>
      <c r="H717" t="s">
        <v>63</v>
      </c>
      <c r="I717">
        <v>426.37</v>
      </c>
      <c r="J717">
        <f>Tabela1[[#This Row],[Valor Total]]/Tabela1[[#This Row],[Quantidade]]</f>
        <v>60.910000000000004</v>
      </c>
      <c r="K717" t="str">
        <f>TEXT(Tabela1[[#This Row],[Data]],"aaaa-mm")</f>
        <v>2025-02</v>
      </c>
    </row>
    <row r="718" spans="1:11">
      <c r="A718" s="1">
        <v>45712</v>
      </c>
      <c r="B718" t="s">
        <v>61</v>
      </c>
      <c r="C718" t="s">
        <v>6</v>
      </c>
      <c r="D718" t="s">
        <v>73</v>
      </c>
      <c r="E718">
        <v>2</v>
      </c>
      <c r="F718">
        <v>335.49</v>
      </c>
      <c r="G718" t="s">
        <v>11</v>
      </c>
      <c r="H718" t="s">
        <v>71</v>
      </c>
      <c r="I718">
        <v>670.98</v>
      </c>
      <c r="J718">
        <f>Tabela1[[#This Row],[Valor Total]]/Tabela1[[#This Row],[Quantidade]]</f>
        <v>335.49</v>
      </c>
      <c r="K718" t="str">
        <f>TEXT(Tabela1[[#This Row],[Data]],"aaaa-mm")</f>
        <v>2025-02</v>
      </c>
    </row>
    <row r="719" spans="1:11">
      <c r="A719" s="1">
        <v>45713</v>
      </c>
      <c r="B719" t="s">
        <v>74</v>
      </c>
      <c r="C719" t="s">
        <v>7</v>
      </c>
      <c r="D719" t="s">
        <v>73</v>
      </c>
      <c r="E719">
        <v>8</v>
      </c>
      <c r="F719">
        <v>284.24</v>
      </c>
      <c r="G719" t="s">
        <v>11</v>
      </c>
      <c r="H719" t="s">
        <v>63</v>
      </c>
      <c r="I719">
        <v>2273.92</v>
      </c>
      <c r="J719">
        <f>Tabela1[[#This Row],[Valor Total]]/Tabela1[[#This Row],[Quantidade]]</f>
        <v>284.24</v>
      </c>
      <c r="K719" t="str">
        <f>TEXT(Tabela1[[#This Row],[Data]],"aaaa-mm")</f>
        <v>2025-02</v>
      </c>
    </row>
    <row r="720" spans="1:11">
      <c r="A720" s="1">
        <v>45715</v>
      </c>
      <c r="B720" t="s">
        <v>68</v>
      </c>
      <c r="C720" t="s">
        <v>5</v>
      </c>
      <c r="D720" t="s">
        <v>70</v>
      </c>
      <c r="E720">
        <v>6</v>
      </c>
      <c r="F720">
        <v>463.79</v>
      </c>
      <c r="G720" t="s">
        <v>13</v>
      </c>
      <c r="H720" t="s">
        <v>63</v>
      </c>
      <c r="I720">
        <v>2782.74</v>
      </c>
      <c r="J720">
        <f>Tabela1[[#This Row],[Valor Total]]/Tabela1[[#This Row],[Quantidade]]</f>
        <v>463.78999999999996</v>
      </c>
      <c r="K720" t="str">
        <f>TEXT(Tabela1[[#This Row],[Data]],"aaaa-mm")</f>
        <v>2025-02</v>
      </c>
    </row>
    <row r="721" spans="1:11">
      <c r="A721" s="1">
        <v>45716</v>
      </c>
      <c r="B721" t="s">
        <v>68</v>
      </c>
      <c r="C721" t="s">
        <v>5</v>
      </c>
      <c r="D721" t="s">
        <v>62</v>
      </c>
      <c r="E721">
        <v>6</v>
      </c>
      <c r="F721">
        <v>35.39</v>
      </c>
      <c r="G721" t="s">
        <v>12</v>
      </c>
      <c r="H721" t="s">
        <v>63</v>
      </c>
      <c r="I721">
        <v>212.34</v>
      </c>
      <c r="J721">
        <f>Tabela1[[#This Row],[Valor Total]]/Tabela1[[#This Row],[Quantidade]]</f>
        <v>35.39</v>
      </c>
      <c r="K721" t="str">
        <f>TEXT(Tabela1[[#This Row],[Data]],"aaaa-mm")</f>
        <v>2025-02</v>
      </c>
    </row>
    <row r="722" spans="1:11">
      <c r="A722" s="1">
        <v>45717</v>
      </c>
      <c r="B722" t="s">
        <v>61</v>
      </c>
      <c r="C722" t="s">
        <v>7</v>
      </c>
      <c r="D722" t="s">
        <v>70</v>
      </c>
      <c r="E722">
        <v>3</v>
      </c>
      <c r="F722">
        <v>221.23</v>
      </c>
      <c r="G722" t="s">
        <v>15</v>
      </c>
      <c r="H722" t="s">
        <v>63</v>
      </c>
      <c r="I722">
        <v>663.68999999999994</v>
      </c>
      <c r="J722">
        <f>Tabela1[[#This Row],[Valor Total]]/Tabela1[[#This Row],[Quantidade]]</f>
        <v>221.23</v>
      </c>
      <c r="K722" t="str">
        <f>TEXT(Tabela1[[#This Row],[Data]],"aaaa-mm")</f>
        <v>2025-03</v>
      </c>
    </row>
    <row r="723" spans="1:11">
      <c r="A723" s="1">
        <v>45718</v>
      </c>
      <c r="B723" t="s">
        <v>72</v>
      </c>
      <c r="C723" t="s">
        <v>5</v>
      </c>
      <c r="D723" t="s">
        <v>66</v>
      </c>
      <c r="E723">
        <v>2</v>
      </c>
      <c r="F723">
        <v>20.64</v>
      </c>
      <c r="G723" t="s">
        <v>15</v>
      </c>
      <c r="H723" t="s">
        <v>63</v>
      </c>
      <c r="I723">
        <v>41.28</v>
      </c>
      <c r="J723">
        <f>Tabela1[[#This Row],[Valor Total]]/Tabela1[[#This Row],[Quantidade]]</f>
        <v>20.64</v>
      </c>
      <c r="K723" t="str">
        <f>TEXT(Tabela1[[#This Row],[Data]],"aaaa-mm")</f>
        <v>2025-03</v>
      </c>
    </row>
    <row r="724" spans="1:11">
      <c r="A724" s="1">
        <v>45719</v>
      </c>
      <c r="B724" t="s">
        <v>69</v>
      </c>
      <c r="C724" t="s">
        <v>8</v>
      </c>
      <c r="D724" t="s">
        <v>70</v>
      </c>
      <c r="E724">
        <v>1</v>
      </c>
      <c r="F724">
        <v>246.16</v>
      </c>
      <c r="G724" t="s">
        <v>11</v>
      </c>
      <c r="H724" t="s">
        <v>67</v>
      </c>
      <c r="I724">
        <v>246.16</v>
      </c>
      <c r="J724">
        <f>Tabela1[[#This Row],[Valor Total]]/Tabela1[[#This Row],[Quantidade]]</f>
        <v>246.16</v>
      </c>
      <c r="K724" t="str">
        <f>TEXT(Tabela1[[#This Row],[Data]],"aaaa-mm")</f>
        <v>2025-03</v>
      </c>
    </row>
    <row r="725" spans="1:11">
      <c r="A725" s="1">
        <v>45720</v>
      </c>
      <c r="B725" t="s">
        <v>61</v>
      </c>
      <c r="C725" t="s">
        <v>4</v>
      </c>
      <c r="D725" t="s">
        <v>62</v>
      </c>
      <c r="E725">
        <v>4</v>
      </c>
      <c r="F725">
        <v>368.32</v>
      </c>
      <c r="G725" t="s">
        <v>12</v>
      </c>
      <c r="H725" t="s">
        <v>64</v>
      </c>
      <c r="I725">
        <v>1473.28</v>
      </c>
      <c r="J725">
        <f>Tabela1[[#This Row],[Valor Total]]/Tabela1[[#This Row],[Quantidade]]</f>
        <v>368.32</v>
      </c>
      <c r="K725" t="str">
        <f>TEXT(Tabela1[[#This Row],[Data]],"aaaa-mm")</f>
        <v>2025-03</v>
      </c>
    </row>
    <row r="726" spans="1:11">
      <c r="A726" s="1">
        <v>45721</v>
      </c>
      <c r="B726" t="s">
        <v>72</v>
      </c>
      <c r="C726" t="s">
        <v>4</v>
      </c>
      <c r="D726" t="s">
        <v>66</v>
      </c>
      <c r="E726">
        <v>4</v>
      </c>
      <c r="F726">
        <v>344.21</v>
      </c>
      <c r="G726" t="s">
        <v>12</v>
      </c>
      <c r="H726" t="s">
        <v>63</v>
      </c>
      <c r="I726">
        <v>1376.84</v>
      </c>
      <c r="J726">
        <f>Tabela1[[#This Row],[Valor Total]]/Tabela1[[#This Row],[Quantidade]]</f>
        <v>344.21</v>
      </c>
      <c r="K726" t="str">
        <f>TEXT(Tabela1[[#This Row],[Data]],"aaaa-mm")</f>
        <v>2025-03</v>
      </c>
    </row>
    <row r="727" spans="1:11">
      <c r="A727" s="1">
        <v>45722</v>
      </c>
      <c r="B727" t="s">
        <v>61</v>
      </c>
      <c r="C727" t="s">
        <v>7</v>
      </c>
      <c r="D727" t="s">
        <v>66</v>
      </c>
      <c r="E727">
        <v>9</v>
      </c>
      <c r="F727">
        <v>385.22</v>
      </c>
      <c r="G727" t="s">
        <v>14</v>
      </c>
      <c r="H727" t="s">
        <v>63</v>
      </c>
      <c r="I727">
        <v>3466.98</v>
      </c>
      <c r="J727">
        <f>Tabela1[[#This Row],[Valor Total]]/Tabela1[[#This Row],[Quantidade]]</f>
        <v>385.22</v>
      </c>
      <c r="K727" t="str">
        <f>TEXT(Tabela1[[#This Row],[Data]],"aaaa-mm")</f>
        <v>2025-03</v>
      </c>
    </row>
    <row r="728" spans="1:11">
      <c r="A728" s="1">
        <v>45723</v>
      </c>
      <c r="B728" t="s">
        <v>69</v>
      </c>
      <c r="C728" t="s">
        <v>6</v>
      </c>
      <c r="D728" t="s">
        <v>73</v>
      </c>
      <c r="E728">
        <v>4</v>
      </c>
      <c r="F728">
        <v>85.24</v>
      </c>
      <c r="G728" t="s">
        <v>13</v>
      </c>
      <c r="H728" t="s">
        <v>63</v>
      </c>
      <c r="I728">
        <v>340.96</v>
      </c>
      <c r="J728">
        <f>Tabela1[[#This Row],[Valor Total]]/Tabela1[[#This Row],[Quantidade]]</f>
        <v>85.24</v>
      </c>
      <c r="K728" t="str">
        <f>TEXT(Tabela1[[#This Row],[Data]],"aaaa-mm")</f>
        <v>2025-03</v>
      </c>
    </row>
    <row r="729" spans="1:11">
      <c r="A729" s="1">
        <v>45724</v>
      </c>
      <c r="B729" t="s">
        <v>74</v>
      </c>
      <c r="C729" t="s">
        <v>7</v>
      </c>
      <c r="D729" t="s">
        <v>73</v>
      </c>
      <c r="E729">
        <v>7</v>
      </c>
      <c r="F729">
        <v>80.44</v>
      </c>
      <c r="G729" t="s">
        <v>12</v>
      </c>
      <c r="H729" t="s">
        <v>64</v>
      </c>
      <c r="I729">
        <v>563.07999999999993</v>
      </c>
      <c r="J729">
        <f>Tabela1[[#This Row],[Valor Total]]/Tabela1[[#This Row],[Quantidade]]</f>
        <v>80.439999999999984</v>
      </c>
      <c r="K729" t="str">
        <f>TEXT(Tabela1[[#This Row],[Data]],"aaaa-mm")</f>
        <v>2025-03</v>
      </c>
    </row>
    <row r="730" spans="1:11">
      <c r="A730" s="1">
        <v>45726</v>
      </c>
      <c r="B730" t="s">
        <v>74</v>
      </c>
      <c r="C730" t="s">
        <v>5</v>
      </c>
      <c r="D730" t="s">
        <v>73</v>
      </c>
      <c r="E730">
        <v>4</v>
      </c>
      <c r="F730">
        <v>47.33</v>
      </c>
      <c r="G730" t="s">
        <v>13</v>
      </c>
      <c r="H730" t="s">
        <v>64</v>
      </c>
      <c r="I730">
        <v>189.32</v>
      </c>
      <c r="J730">
        <f>Tabela1[[#This Row],[Valor Total]]/Tabela1[[#This Row],[Quantidade]]</f>
        <v>47.33</v>
      </c>
      <c r="K730" t="str">
        <f>TEXT(Tabela1[[#This Row],[Data]],"aaaa-mm")</f>
        <v>2025-03</v>
      </c>
    </row>
    <row r="731" spans="1:11">
      <c r="A731" s="1">
        <v>45727</v>
      </c>
      <c r="B731" t="s">
        <v>74</v>
      </c>
      <c r="C731" t="s">
        <v>5</v>
      </c>
      <c r="D731" t="s">
        <v>66</v>
      </c>
      <c r="E731">
        <v>4</v>
      </c>
      <c r="F731">
        <v>477.53</v>
      </c>
      <c r="G731" t="s">
        <v>13</v>
      </c>
      <c r="H731" t="s">
        <v>63</v>
      </c>
      <c r="I731">
        <v>1910.12</v>
      </c>
      <c r="J731">
        <f>Tabela1[[#This Row],[Valor Total]]/Tabela1[[#This Row],[Quantidade]]</f>
        <v>477.53</v>
      </c>
      <c r="K731" t="str">
        <f>TEXT(Tabela1[[#This Row],[Data]],"aaaa-mm")</f>
        <v>2025-03</v>
      </c>
    </row>
    <row r="732" spans="1:11">
      <c r="A732" s="1">
        <v>45728</v>
      </c>
      <c r="B732" t="s">
        <v>69</v>
      </c>
      <c r="C732" t="s">
        <v>8</v>
      </c>
      <c r="D732" t="s">
        <v>65</v>
      </c>
      <c r="E732">
        <v>1</v>
      </c>
      <c r="F732">
        <v>325.02999999999997</v>
      </c>
      <c r="G732" t="s">
        <v>15</v>
      </c>
      <c r="H732" t="s">
        <v>63</v>
      </c>
      <c r="I732">
        <v>325.02999999999997</v>
      </c>
      <c r="J732">
        <f>Tabela1[[#This Row],[Valor Total]]/Tabela1[[#This Row],[Quantidade]]</f>
        <v>325.02999999999997</v>
      </c>
      <c r="K732" t="str">
        <f>TEXT(Tabela1[[#This Row],[Data]],"aaaa-mm")</f>
        <v>2025-03</v>
      </c>
    </row>
    <row r="733" spans="1:11">
      <c r="A733" s="1">
        <v>45729</v>
      </c>
      <c r="B733" t="s">
        <v>72</v>
      </c>
      <c r="C733" t="s">
        <v>4</v>
      </c>
      <c r="D733" t="s">
        <v>62</v>
      </c>
      <c r="E733">
        <v>6</v>
      </c>
      <c r="F733">
        <v>307.93</v>
      </c>
      <c r="G733" t="s">
        <v>15</v>
      </c>
      <c r="H733" t="s">
        <v>64</v>
      </c>
      <c r="I733">
        <v>1847.58</v>
      </c>
      <c r="J733">
        <f>Tabela1[[#This Row],[Valor Total]]/Tabela1[[#This Row],[Quantidade]]</f>
        <v>307.93</v>
      </c>
      <c r="K733" t="str">
        <f>TEXT(Tabela1[[#This Row],[Data]],"aaaa-mm")</f>
        <v>2025-03</v>
      </c>
    </row>
    <row r="734" spans="1:11">
      <c r="A734" s="1">
        <v>45730</v>
      </c>
      <c r="B734" t="s">
        <v>61</v>
      </c>
      <c r="C734" t="s">
        <v>6</v>
      </c>
      <c r="D734" t="s">
        <v>73</v>
      </c>
      <c r="E734">
        <v>8</v>
      </c>
      <c r="F734">
        <v>410.78</v>
      </c>
      <c r="G734" t="s">
        <v>12</v>
      </c>
      <c r="H734" t="s">
        <v>64</v>
      </c>
      <c r="I734">
        <v>3286.24</v>
      </c>
      <c r="J734">
        <f>Tabela1[[#This Row],[Valor Total]]/Tabela1[[#This Row],[Quantidade]]</f>
        <v>410.78</v>
      </c>
      <c r="K734" t="str">
        <f>TEXT(Tabela1[[#This Row],[Data]],"aaaa-mm")</f>
        <v>2025-03</v>
      </c>
    </row>
    <row r="735" spans="1:11">
      <c r="A735" s="1">
        <v>45731</v>
      </c>
      <c r="B735" t="s">
        <v>72</v>
      </c>
      <c r="C735" t="s">
        <v>5</v>
      </c>
      <c r="D735" t="s">
        <v>73</v>
      </c>
      <c r="E735">
        <v>1</v>
      </c>
      <c r="F735">
        <v>422.54</v>
      </c>
      <c r="G735" t="s">
        <v>13</v>
      </c>
      <c r="H735" t="s">
        <v>71</v>
      </c>
      <c r="I735">
        <v>422.54</v>
      </c>
      <c r="J735">
        <f>Tabela1[[#This Row],[Valor Total]]/Tabela1[[#This Row],[Quantidade]]</f>
        <v>422.54</v>
      </c>
      <c r="K735" t="str">
        <f>TEXT(Tabela1[[#This Row],[Data]],"aaaa-mm")</f>
        <v>2025-03</v>
      </c>
    </row>
    <row r="736" spans="1:11">
      <c r="A736" s="1">
        <v>45732</v>
      </c>
      <c r="B736" t="s">
        <v>69</v>
      </c>
      <c r="C736" t="s">
        <v>7</v>
      </c>
      <c r="D736" t="s">
        <v>65</v>
      </c>
      <c r="E736">
        <v>5</v>
      </c>
      <c r="F736">
        <v>493.21</v>
      </c>
      <c r="G736" t="s">
        <v>13</v>
      </c>
      <c r="H736" t="s">
        <v>64</v>
      </c>
      <c r="I736">
        <v>2466.0500000000002</v>
      </c>
      <c r="J736">
        <f>Tabela1[[#This Row],[Valor Total]]/Tabela1[[#This Row],[Quantidade]]</f>
        <v>493.21000000000004</v>
      </c>
      <c r="K736" t="str">
        <f>TEXT(Tabela1[[#This Row],[Data]],"aaaa-mm")</f>
        <v>2025-03</v>
      </c>
    </row>
    <row r="737" spans="1:11">
      <c r="A737" s="1">
        <v>45733</v>
      </c>
      <c r="B737" t="s">
        <v>68</v>
      </c>
      <c r="C737" t="s">
        <v>5</v>
      </c>
      <c r="D737" t="s">
        <v>73</v>
      </c>
      <c r="E737">
        <v>8</v>
      </c>
      <c r="F737">
        <v>35.450000000000003</v>
      </c>
      <c r="G737" t="s">
        <v>14</v>
      </c>
      <c r="H737" t="s">
        <v>63</v>
      </c>
      <c r="I737">
        <v>283.60000000000002</v>
      </c>
      <c r="J737">
        <f>Tabela1[[#This Row],[Valor Total]]/Tabela1[[#This Row],[Quantidade]]</f>
        <v>35.450000000000003</v>
      </c>
      <c r="K737" t="str">
        <f>TEXT(Tabela1[[#This Row],[Data]],"aaaa-mm")</f>
        <v>2025-03</v>
      </c>
    </row>
    <row r="738" spans="1:11">
      <c r="A738" s="1">
        <v>45734</v>
      </c>
      <c r="B738" t="s">
        <v>61</v>
      </c>
      <c r="C738" t="s">
        <v>7</v>
      </c>
      <c r="D738" t="s">
        <v>65</v>
      </c>
      <c r="E738">
        <v>6</v>
      </c>
      <c r="F738">
        <v>437.02</v>
      </c>
      <c r="G738" t="s">
        <v>11</v>
      </c>
      <c r="H738" t="s">
        <v>63</v>
      </c>
      <c r="I738">
        <v>2622.12</v>
      </c>
      <c r="J738">
        <f>Tabela1[[#This Row],[Valor Total]]/Tabela1[[#This Row],[Quantidade]]</f>
        <v>437.02</v>
      </c>
      <c r="K738" t="str">
        <f>TEXT(Tabela1[[#This Row],[Data]],"aaaa-mm")</f>
        <v>2025-03</v>
      </c>
    </row>
    <row r="739" spans="1:11">
      <c r="A739" s="1">
        <v>45735</v>
      </c>
      <c r="B739" t="s">
        <v>68</v>
      </c>
      <c r="C739" t="s">
        <v>7</v>
      </c>
      <c r="D739" t="s">
        <v>65</v>
      </c>
      <c r="E739">
        <v>2</v>
      </c>
      <c r="F739">
        <v>142.19999999999999</v>
      </c>
      <c r="G739" t="s">
        <v>12</v>
      </c>
      <c r="H739" t="s">
        <v>64</v>
      </c>
      <c r="I739">
        <v>284.39999999999998</v>
      </c>
      <c r="J739">
        <f>Tabela1[[#This Row],[Valor Total]]/Tabela1[[#This Row],[Quantidade]]</f>
        <v>142.19999999999999</v>
      </c>
      <c r="K739" t="str">
        <f>TEXT(Tabela1[[#This Row],[Data]],"aaaa-mm")</f>
        <v>2025-03</v>
      </c>
    </row>
    <row r="740" spans="1:11">
      <c r="A740" s="1">
        <v>45737</v>
      </c>
      <c r="B740" t="s">
        <v>68</v>
      </c>
      <c r="C740" t="s">
        <v>8</v>
      </c>
      <c r="D740" t="s">
        <v>62</v>
      </c>
      <c r="E740">
        <v>3</v>
      </c>
      <c r="F740">
        <v>393.12</v>
      </c>
      <c r="G740" t="s">
        <v>12</v>
      </c>
      <c r="H740" t="s">
        <v>64</v>
      </c>
      <c r="I740">
        <v>1179.3599999999999</v>
      </c>
      <c r="J740">
        <f>Tabela1[[#This Row],[Valor Total]]/Tabela1[[#This Row],[Quantidade]]</f>
        <v>393.11999999999995</v>
      </c>
      <c r="K740" t="str">
        <f>TEXT(Tabela1[[#This Row],[Data]],"aaaa-mm")</f>
        <v>2025-03</v>
      </c>
    </row>
    <row r="741" spans="1:11">
      <c r="A741" s="1">
        <v>45738</v>
      </c>
      <c r="B741" t="s">
        <v>61</v>
      </c>
      <c r="C741" t="s">
        <v>6</v>
      </c>
      <c r="D741" t="s">
        <v>66</v>
      </c>
      <c r="E741">
        <v>5</v>
      </c>
      <c r="F741">
        <v>494.16</v>
      </c>
      <c r="G741" t="s">
        <v>11</v>
      </c>
      <c r="H741" t="s">
        <v>63</v>
      </c>
      <c r="I741">
        <v>2470.8000000000002</v>
      </c>
      <c r="J741">
        <f>Tabela1[[#This Row],[Valor Total]]/Tabela1[[#This Row],[Quantidade]]</f>
        <v>494.16</v>
      </c>
      <c r="K741" t="str">
        <f>TEXT(Tabela1[[#This Row],[Data]],"aaaa-mm")</f>
        <v>2025-03</v>
      </c>
    </row>
    <row r="742" spans="1:11">
      <c r="A742" s="1">
        <v>45739</v>
      </c>
      <c r="B742" t="s">
        <v>69</v>
      </c>
      <c r="C742" t="s">
        <v>6</v>
      </c>
      <c r="D742" t="s">
        <v>70</v>
      </c>
      <c r="E742">
        <v>7</v>
      </c>
      <c r="F742">
        <v>464.33</v>
      </c>
      <c r="G742" t="s">
        <v>15</v>
      </c>
      <c r="H742" t="s">
        <v>64</v>
      </c>
      <c r="I742">
        <v>3250.31</v>
      </c>
      <c r="J742">
        <f>Tabela1[[#This Row],[Valor Total]]/Tabela1[[#This Row],[Quantidade]]</f>
        <v>464.33</v>
      </c>
      <c r="K742" t="str">
        <f>TEXT(Tabela1[[#This Row],[Data]],"aaaa-mm")</f>
        <v>2025-03</v>
      </c>
    </row>
    <row r="743" spans="1:11">
      <c r="A743" s="1">
        <v>45740</v>
      </c>
      <c r="B743" t="s">
        <v>69</v>
      </c>
      <c r="C743" t="s">
        <v>4</v>
      </c>
      <c r="D743" t="s">
        <v>65</v>
      </c>
      <c r="E743">
        <v>2</v>
      </c>
      <c r="F743">
        <v>38.340000000000003</v>
      </c>
      <c r="G743" t="s">
        <v>15</v>
      </c>
      <c r="H743" t="s">
        <v>63</v>
      </c>
      <c r="I743">
        <v>76.680000000000007</v>
      </c>
      <c r="J743">
        <f>Tabela1[[#This Row],[Valor Total]]/Tabela1[[#This Row],[Quantidade]]</f>
        <v>38.340000000000003</v>
      </c>
      <c r="K743" t="str">
        <f>TEXT(Tabela1[[#This Row],[Data]],"aaaa-mm")</f>
        <v>2025-03</v>
      </c>
    </row>
    <row r="744" spans="1:11">
      <c r="A744" s="1">
        <v>45741</v>
      </c>
      <c r="B744" t="s">
        <v>72</v>
      </c>
      <c r="C744" t="s">
        <v>6</v>
      </c>
      <c r="D744" t="s">
        <v>62</v>
      </c>
      <c r="E744">
        <v>3</v>
      </c>
      <c r="F744">
        <v>282.97000000000003</v>
      </c>
      <c r="G744" t="s">
        <v>11</v>
      </c>
      <c r="H744" t="s">
        <v>71</v>
      </c>
      <c r="I744">
        <v>848.91000000000008</v>
      </c>
      <c r="J744">
        <f>Tabela1[[#This Row],[Valor Total]]/Tabela1[[#This Row],[Quantidade]]</f>
        <v>282.97000000000003</v>
      </c>
      <c r="K744" t="str">
        <f>TEXT(Tabela1[[#This Row],[Data]],"aaaa-mm")</f>
        <v>2025-03</v>
      </c>
    </row>
    <row r="745" spans="1:11">
      <c r="A745" s="1">
        <v>45742</v>
      </c>
      <c r="B745" t="s">
        <v>74</v>
      </c>
      <c r="C745" t="s">
        <v>5</v>
      </c>
      <c r="D745" t="s">
        <v>73</v>
      </c>
      <c r="E745">
        <v>8</v>
      </c>
      <c r="F745">
        <v>239.11</v>
      </c>
      <c r="G745" t="s">
        <v>14</v>
      </c>
      <c r="H745" t="s">
        <v>71</v>
      </c>
      <c r="I745">
        <v>1912.88</v>
      </c>
      <c r="J745">
        <f>Tabela1[[#This Row],[Valor Total]]/Tabela1[[#This Row],[Quantidade]]</f>
        <v>239.11</v>
      </c>
      <c r="K745" t="str">
        <f>TEXT(Tabela1[[#This Row],[Data]],"aaaa-mm")</f>
        <v>2025-03</v>
      </c>
    </row>
    <row r="746" spans="1:11">
      <c r="A746" s="1">
        <v>45743</v>
      </c>
      <c r="B746" t="s">
        <v>72</v>
      </c>
      <c r="C746" t="s">
        <v>4</v>
      </c>
      <c r="D746" t="s">
        <v>62</v>
      </c>
      <c r="E746">
        <v>3</v>
      </c>
      <c r="F746">
        <v>318.04000000000002</v>
      </c>
      <c r="G746" t="s">
        <v>15</v>
      </c>
      <c r="H746" t="s">
        <v>67</v>
      </c>
      <c r="I746">
        <v>954.12000000000012</v>
      </c>
      <c r="J746">
        <f>Tabela1[[#This Row],[Valor Total]]/Tabela1[[#This Row],[Quantidade]]</f>
        <v>318.04000000000002</v>
      </c>
      <c r="K746" t="str">
        <f>TEXT(Tabela1[[#This Row],[Data]],"aaaa-mm")</f>
        <v>2025-03</v>
      </c>
    </row>
    <row r="747" spans="1:11">
      <c r="A747" s="1">
        <v>45744</v>
      </c>
      <c r="B747" t="s">
        <v>61</v>
      </c>
      <c r="C747" t="s">
        <v>6</v>
      </c>
      <c r="D747" t="s">
        <v>70</v>
      </c>
      <c r="E747">
        <v>7</v>
      </c>
      <c r="F747">
        <v>476.17</v>
      </c>
      <c r="G747" t="s">
        <v>13</v>
      </c>
      <c r="H747" t="s">
        <v>67</v>
      </c>
      <c r="I747">
        <v>3333.19</v>
      </c>
      <c r="J747">
        <f>Tabela1[[#This Row],[Valor Total]]/Tabela1[[#This Row],[Quantidade]]</f>
        <v>476.17</v>
      </c>
      <c r="K747" t="str">
        <f>TEXT(Tabela1[[#This Row],[Data]],"aaaa-mm")</f>
        <v>2025-03</v>
      </c>
    </row>
    <row r="748" spans="1:11">
      <c r="A748" s="1">
        <v>45745</v>
      </c>
      <c r="B748" t="s">
        <v>72</v>
      </c>
      <c r="C748" t="s">
        <v>7</v>
      </c>
      <c r="D748" t="s">
        <v>62</v>
      </c>
      <c r="E748">
        <v>3</v>
      </c>
      <c r="F748">
        <v>235.6</v>
      </c>
      <c r="G748" t="s">
        <v>14</v>
      </c>
      <c r="H748" t="s">
        <v>63</v>
      </c>
      <c r="I748">
        <v>706.8</v>
      </c>
      <c r="J748">
        <f>Tabela1[[#This Row],[Valor Total]]/Tabela1[[#This Row],[Quantidade]]</f>
        <v>235.6</v>
      </c>
      <c r="K748" t="str">
        <f>TEXT(Tabela1[[#This Row],[Data]],"aaaa-mm")</f>
        <v>2025-03</v>
      </c>
    </row>
    <row r="749" spans="1:11">
      <c r="A749" s="1">
        <v>45746</v>
      </c>
      <c r="B749" t="s">
        <v>68</v>
      </c>
      <c r="C749" t="s">
        <v>5</v>
      </c>
      <c r="D749" t="s">
        <v>66</v>
      </c>
      <c r="E749">
        <v>8</v>
      </c>
      <c r="F749">
        <v>35.31</v>
      </c>
      <c r="G749" t="s">
        <v>15</v>
      </c>
      <c r="H749" t="s">
        <v>71</v>
      </c>
      <c r="I749">
        <v>282.48</v>
      </c>
      <c r="J749">
        <f>Tabela1[[#This Row],[Valor Total]]/Tabela1[[#This Row],[Quantidade]]</f>
        <v>35.31</v>
      </c>
      <c r="K749" t="str">
        <f>TEXT(Tabela1[[#This Row],[Data]],"aaaa-mm")</f>
        <v>2025-03</v>
      </c>
    </row>
    <row r="750" spans="1:11">
      <c r="A750" s="1">
        <v>45747</v>
      </c>
      <c r="B750" t="s">
        <v>72</v>
      </c>
      <c r="C750" t="s">
        <v>5</v>
      </c>
      <c r="D750" t="s">
        <v>62</v>
      </c>
      <c r="E750">
        <v>2</v>
      </c>
      <c r="F750">
        <v>390.11</v>
      </c>
      <c r="G750" t="s">
        <v>13</v>
      </c>
      <c r="H750" t="s">
        <v>67</v>
      </c>
      <c r="I750">
        <v>780.22</v>
      </c>
      <c r="J750">
        <f>Tabela1[[#This Row],[Valor Total]]/Tabela1[[#This Row],[Quantidade]]</f>
        <v>390.11</v>
      </c>
      <c r="K750" t="str">
        <f>TEXT(Tabela1[[#This Row],[Data]],"aaaa-mm")</f>
        <v>2025-03</v>
      </c>
    </row>
    <row r="751" spans="1:11">
      <c r="A751" s="1">
        <v>45749</v>
      </c>
      <c r="B751" t="s">
        <v>74</v>
      </c>
      <c r="C751" t="s">
        <v>7</v>
      </c>
      <c r="D751" t="s">
        <v>62</v>
      </c>
      <c r="E751">
        <v>7</v>
      </c>
      <c r="F751">
        <v>264.41000000000003</v>
      </c>
      <c r="G751" t="s">
        <v>12</v>
      </c>
      <c r="H751" t="s">
        <v>67</v>
      </c>
      <c r="I751">
        <v>1850.87</v>
      </c>
      <c r="J751">
        <f>Tabela1[[#This Row],[Valor Total]]/Tabela1[[#This Row],[Quantidade]]</f>
        <v>264.40999999999997</v>
      </c>
      <c r="K751" t="str">
        <f>TEXT(Tabela1[[#This Row],[Data]],"aaaa-mm")</f>
        <v>2025-04</v>
      </c>
    </row>
    <row r="752" spans="1:11">
      <c r="A752" s="1">
        <v>45750</v>
      </c>
      <c r="B752" t="s">
        <v>69</v>
      </c>
      <c r="C752" t="s">
        <v>7</v>
      </c>
      <c r="D752" t="s">
        <v>65</v>
      </c>
      <c r="E752">
        <v>1</v>
      </c>
      <c r="F752">
        <v>452.88</v>
      </c>
      <c r="G752" t="s">
        <v>11</v>
      </c>
      <c r="H752" t="s">
        <v>71</v>
      </c>
      <c r="I752">
        <v>452.88</v>
      </c>
      <c r="J752">
        <f>Tabela1[[#This Row],[Valor Total]]/Tabela1[[#This Row],[Quantidade]]</f>
        <v>452.88</v>
      </c>
      <c r="K752" t="str">
        <f>TEXT(Tabela1[[#This Row],[Data]],"aaaa-mm")</f>
        <v>2025-04</v>
      </c>
    </row>
    <row r="753" spans="1:11">
      <c r="A753" s="1">
        <v>45751</v>
      </c>
      <c r="B753" t="s">
        <v>61</v>
      </c>
      <c r="C753" t="s">
        <v>6</v>
      </c>
      <c r="D753" t="s">
        <v>62</v>
      </c>
      <c r="E753">
        <v>2</v>
      </c>
      <c r="F753">
        <v>361.89</v>
      </c>
      <c r="G753" t="s">
        <v>13</v>
      </c>
      <c r="H753" t="s">
        <v>71</v>
      </c>
      <c r="I753">
        <v>723.78</v>
      </c>
      <c r="J753">
        <f>Tabela1[[#This Row],[Valor Total]]/Tabela1[[#This Row],[Quantidade]]</f>
        <v>361.89</v>
      </c>
      <c r="K753" t="str">
        <f>TEXT(Tabela1[[#This Row],[Data]],"aaaa-mm")</f>
        <v>2025-04</v>
      </c>
    </row>
    <row r="754" spans="1:11">
      <c r="A754" s="1">
        <v>45752</v>
      </c>
      <c r="B754" t="s">
        <v>74</v>
      </c>
      <c r="C754" t="s">
        <v>5</v>
      </c>
      <c r="D754" t="s">
        <v>62</v>
      </c>
      <c r="E754">
        <v>5</v>
      </c>
      <c r="F754">
        <v>182.37</v>
      </c>
      <c r="G754" t="s">
        <v>14</v>
      </c>
      <c r="H754" t="s">
        <v>67</v>
      </c>
      <c r="I754">
        <v>911.85</v>
      </c>
      <c r="J754">
        <f>Tabela1[[#This Row],[Valor Total]]/Tabela1[[#This Row],[Quantidade]]</f>
        <v>182.37</v>
      </c>
      <c r="K754" t="str">
        <f>TEXT(Tabela1[[#This Row],[Data]],"aaaa-mm")</f>
        <v>2025-04</v>
      </c>
    </row>
    <row r="755" spans="1:11">
      <c r="A755" s="1">
        <v>45753</v>
      </c>
      <c r="B755" t="s">
        <v>68</v>
      </c>
      <c r="C755" t="s">
        <v>7</v>
      </c>
      <c r="D755" t="s">
        <v>62</v>
      </c>
      <c r="E755">
        <v>1</v>
      </c>
      <c r="F755">
        <v>304.13</v>
      </c>
      <c r="G755" t="s">
        <v>14</v>
      </c>
      <c r="H755" t="s">
        <v>67</v>
      </c>
      <c r="I755">
        <v>304.13</v>
      </c>
      <c r="J755">
        <f>Tabela1[[#This Row],[Valor Total]]/Tabela1[[#This Row],[Quantidade]]</f>
        <v>304.13</v>
      </c>
      <c r="K755" t="str">
        <f>TEXT(Tabela1[[#This Row],[Data]],"aaaa-mm")</f>
        <v>2025-04</v>
      </c>
    </row>
    <row r="756" spans="1:11">
      <c r="A756" s="1">
        <v>45754</v>
      </c>
      <c r="B756" t="s">
        <v>72</v>
      </c>
      <c r="C756" t="s">
        <v>4</v>
      </c>
      <c r="D756" t="s">
        <v>66</v>
      </c>
      <c r="E756">
        <v>9</v>
      </c>
      <c r="F756">
        <v>297.68</v>
      </c>
      <c r="G756" t="s">
        <v>11</v>
      </c>
      <c r="H756" t="s">
        <v>63</v>
      </c>
      <c r="I756">
        <v>2679.12</v>
      </c>
      <c r="J756">
        <f>Tabela1[[#This Row],[Valor Total]]/Tabela1[[#This Row],[Quantidade]]</f>
        <v>297.68</v>
      </c>
      <c r="K756" t="str">
        <f>TEXT(Tabela1[[#This Row],[Data]],"aaaa-mm")</f>
        <v>2025-04</v>
      </c>
    </row>
    <row r="757" spans="1:11">
      <c r="A757" s="1">
        <v>45755</v>
      </c>
      <c r="B757" t="s">
        <v>74</v>
      </c>
      <c r="C757" t="s">
        <v>5</v>
      </c>
      <c r="D757" t="s">
        <v>62</v>
      </c>
      <c r="E757">
        <v>9</v>
      </c>
      <c r="F757">
        <v>424</v>
      </c>
      <c r="G757" t="s">
        <v>15</v>
      </c>
      <c r="H757" t="s">
        <v>63</v>
      </c>
      <c r="I757">
        <v>3816</v>
      </c>
      <c r="J757">
        <f>Tabela1[[#This Row],[Valor Total]]/Tabela1[[#This Row],[Quantidade]]</f>
        <v>424</v>
      </c>
      <c r="K757" t="str">
        <f>TEXT(Tabela1[[#This Row],[Data]],"aaaa-mm")</f>
        <v>2025-04</v>
      </c>
    </row>
    <row r="758" spans="1:11">
      <c r="A758" s="1">
        <v>45756</v>
      </c>
      <c r="B758" t="s">
        <v>61</v>
      </c>
      <c r="C758" t="s">
        <v>5</v>
      </c>
      <c r="D758" t="s">
        <v>70</v>
      </c>
      <c r="E758">
        <v>7</v>
      </c>
      <c r="F758">
        <v>131.76</v>
      </c>
      <c r="G758" t="s">
        <v>13</v>
      </c>
      <c r="H758" t="s">
        <v>64</v>
      </c>
      <c r="I758">
        <v>922.31999999999994</v>
      </c>
      <c r="J758">
        <f>Tabela1[[#This Row],[Valor Total]]/Tabela1[[#This Row],[Quantidade]]</f>
        <v>131.76</v>
      </c>
      <c r="K758" t="str">
        <f>TEXT(Tabela1[[#This Row],[Data]],"aaaa-mm")</f>
        <v>2025-04</v>
      </c>
    </row>
    <row r="759" spans="1:11">
      <c r="A759" s="1">
        <v>45757</v>
      </c>
      <c r="B759" t="s">
        <v>72</v>
      </c>
      <c r="C759" t="s">
        <v>7</v>
      </c>
      <c r="D759" t="s">
        <v>66</v>
      </c>
      <c r="E759">
        <v>7</v>
      </c>
      <c r="F759">
        <v>489.97</v>
      </c>
      <c r="G759" t="s">
        <v>15</v>
      </c>
      <c r="H759" t="s">
        <v>71</v>
      </c>
      <c r="I759">
        <v>3429.79</v>
      </c>
      <c r="J759">
        <f>Tabela1[[#This Row],[Valor Total]]/Tabela1[[#This Row],[Quantidade]]</f>
        <v>489.96999999999997</v>
      </c>
      <c r="K759" t="str">
        <f>TEXT(Tabela1[[#This Row],[Data]],"aaaa-mm")</f>
        <v>2025-04</v>
      </c>
    </row>
    <row r="760" spans="1:11">
      <c r="A760" s="1">
        <v>45758</v>
      </c>
      <c r="B760" t="s">
        <v>68</v>
      </c>
      <c r="C760" t="s">
        <v>6</v>
      </c>
      <c r="D760" t="s">
        <v>73</v>
      </c>
      <c r="E760">
        <v>8</v>
      </c>
      <c r="F760">
        <v>332.83</v>
      </c>
      <c r="G760" t="s">
        <v>11</v>
      </c>
      <c r="H760" t="s">
        <v>64</v>
      </c>
      <c r="I760">
        <v>2662.64</v>
      </c>
      <c r="J760">
        <f>Tabela1[[#This Row],[Valor Total]]/Tabela1[[#This Row],[Quantidade]]</f>
        <v>332.83</v>
      </c>
      <c r="K760" t="str">
        <f>TEXT(Tabela1[[#This Row],[Data]],"aaaa-mm")</f>
        <v>2025-04</v>
      </c>
    </row>
    <row r="761" spans="1:11">
      <c r="A761" s="1">
        <v>45760</v>
      </c>
      <c r="B761" t="s">
        <v>72</v>
      </c>
      <c r="C761" t="s">
        <v>8</v>
      </c>
      <c r="D761" t="s">
        <v>66</v>
      </c>
      <c r="E761">
        <v>4</v>
      </c>
      <c r="F761">
        <v>475.19</v>
      </c>
      <c r="G761" t="s">
        <v>15</v>
      </c>
      <c r="H761" t="s">
        <v>64</v>
      </c>
      <c r="I761">
        <v>1900.76</v>
      </c>
      <c r="J761">
        <f>Tabela1[[#This Row],[Valor Total]]/Tabela1[[#This Row],[Quantidade]]</f>
        <v>475.19</v>
      </c>
      <c r="K761" t="str">
        <f>TEXT(Tabela1[[#This Row],[Data]],"aaaa-mm")</f>
        <v>2025-04</v>
      </c>
    </row>
    <row r="762" spans="1:11">
      <c r="A762" s="1">
        <v>45761</v>
      </c>
      <c r="B762" t="s">
        <v>72</v>
      </c>
      <c r="C762" t="s">
        <v>4</v>
      </c>
      <c r="D762" t="s">
        <v>62</v>
      </c>
      <c r="E762">
        <v>8</v>
      </c>
      <c r="F762">
        <v>454.49</v>
      </c>
      <c r="G762" t="s">
        <v>13</v>
      </c>
      <c r="H762" t="s">
        <v>64</v>
      </c>
      <c r="I762">
        <v>3635.92</v>
      </c>
      <c r="J762">
        <f>Tabela1[[#This Row],[Valor Total]]/Tabela1[[#This Row],[Quantidade]]</f>
        <v>454.49</v>
      </c>
      <c r="K762" t="str">
        <f>TEXT(Tabela1[[#This Row],[Data]],"aaaa-mm")</f>
        <v>2025-04</v>
      </c>
    </row>
    <row r="763" spans="1:11">
      <c r="A763" s="1">
        <v>45762</v>
      </c>
      <c r="B763" t="s">
        <v>69</v>
      </c>
      <c r="C763" t="s">
        <v>7</v>
      </c>
      <c r="D763" t="s">
        <v>70</v>
      </c>
      <c r="E763">
        <v>5</v>
      </c>
      <c r="F763">
        <v>112.61</v>
      </c>
      <c r="G763" t="s">
        <v>11</v>
      </c>
      <c r="H763" t="s">
        <v>71</v>
      </c>
      <c r="I763">
        <v>563.04999999999995</v>
      </c>
      <c r="J763">
        <f>Tabela1[[#This Row],[Valor Total]]/Tabela1[[#This Row],[Quantidade]]</f>
        <v>112.60999999999999</v>
      </c>
      <c r="K763" t="str">
        <f>TEXT(Tabela1[[#This Row],[Data]],"aaaa-mm")</f>
        <v>2025-04</v>
      </c>
    </row>
    <row r="764" spans="1:11">
      <c r="A764" s="1">
        <v>45763</v>
      </c>
      <c r="B764" t="s">
        <v>69</v>
      </c>
      <c r="C764" t="s">
        <v>8</v>
      </c>
      <c r="D764" t="s">
        <v>62</v>
      </c>
      <c r="E764">
        <v>6</v>
      </c>
      <c r="F764">
        <v>366.47</v>
      </c>
      <c r="G764" t="s">
        <v>12</v>
      </c>
      <c r="H764" t="s">
        <v>64</v>
      </c>
      <c r="I764">
        <v>2198.8200000000002</v>
      </c>
      <c r="J764">
        <f>Tabela1[[#This Row],[Valor Total]]/Tabela1[[#This Row],[Quantidade]]</f>
        <v>366.47</v>
      </c>
      <c r="K764" t="str">
        <f>TEXT(Tabela1[[#This Row],[Data]],"aaaa-mm")</f>
        <v>2025-04</v>
      </c>
    </row>
    <row r="765" spans="1:11">
      <c r="A765" s="1">
        <v>45764</v>
      </c>
      <c r="B765" t="s">
        <v>74</v>
      </c>
      <c r="C765" t="s">
        <v>7</v>
      </c>
      <c r="D765" t="s">
        <v>65</v>
      </c>
      <c r="E765">
        <v>2</v>
      </c>
      <c r="F765">
        <v>252.68</v>
      </c>
      <c r="G765" t="s">
        <v>12</v>
      </c>
      <c r="H765" t="s">
        <v>64</v>
      </c>
      <c r="I765">
        <v>505.36</v>
      </c>
      <c r="J765">
        <f>Tabela1[[#This Row],[Valor Total]]/Tabela1[[#This Row],[Quantidade]]</f>
        <v>252.68</v>
      </c>
      <c r="K765" t="str">
        <f>TEXT(Tabela1[[#This Row],[Data]],"aaaa-mm")</f>
        <v>2025-04</v>
      </c>
    </row>
    <row r="766" spans="1:11">
      <c r="A766" s="1">
        <v>45765</v>
      </c>
      <c r="B766" t="s">
        <v>74</v>
      </c>
      <c r="C766" t="s">
        <v>7</v>
      </c>
      <c r="D766" t="s">
        <v>66</v>
      </c>
      <c r="E766">
        <v>3</v>
      </c>
      <c r="F766">
        <v>65.81</v>
      </c>
      <c r="G766" t="s">
        <v>11</v>
      </c>
      <c r="H766" t="s">
        <v>64</v>
      </c>
      <c r="I766">
        <v>197.43</v>
      </c>
      <c r="J766">
        <f>Tabela1[[#This Row],[Valor Total]]/Tabela1[[#This Row],[Quantidade]]</f>
        <v>65.81</v>
      </c>
      <c r="K766" t="str">
        <f>TEXT(Tabela1[[#This Row],[Data]],"aaaa-mm")</f>
        <v>2025-04</v>
      </c>
    </row>
    <row r="767" spans="1:11">
      <c r="A767" s="1">
        <v>45766</v>
      </c>
      <c r="B767" t="s">
        <v>69</v>
      </c>
      <c r="C767" t="s">
        <v>5</v>
      </c>
      <c r="D767" t="s">
        <v>66</v>
      </c>
      <c r="E767">
        <v>2</v>
      </c>
      <c r="F767">
        <v>206.6</v>
      </c>
      <c r="G767" t="s">
        <v>14</v>
      </c>
      <c r="H767" t="s">
        <v>64</v>
      </c>
      <c r="I767">
        <v>413.2</v>
      </c>
      <c r="J767">
        <f>Tabela1[[#This Row],[Valor Total]]/Tabela1[[#This Row],[Quantidade]]</f>
        <v>206.6</v>
      </c>
      <c r="K767" t="str">
        <f>TEXT(Tabela1[[#This Row],[Data]],"aaaa-mm")</f>
        <v>2025-04</v>
      </c>
    </row>
    <row r="768" spans="1:11">
      <c r="A768" s="1">
        <v>45767</v>
      </c>
      <c r="B768" t="s">
        <v>68</v>
      </c>
      <c r="C768" t="s">
        <v>5</v>
      </c>
      <c r="D768" t="s">
        <v>70</v>
      </c>
      <c r="E768">
        <v>9</v>
      </c>
      <c r="F768">
        <v>403.79</v>
      </c>
      <c r="G768" t="s">
        <v>12</v>
      </c>
      <c r="H768" t="s">
        <v>67</v>
      </c>
      <c r="I768">
        <v>3634.11</v>
      </c>
      <c r="J768">
        <f>Tabela1[[#This Row],[Valor Total]]/Tabela1[[#This Row],[Quantidade]]</f>
        <v>403.79</v>
      </c>
      <c r="K768" t="str">
        <f>TEXT(Tabela1[[#This Row],[Data]],"aaaa-mm")</f>
        <v>2025-04</v>
      </c>
    </row>
    <row r="769" spans="1:11">
      <c r="A769" s="1">
        <v>45768</v>
      </c>
      <c r="B769" t="s">
        <v>74</v>
      </c>
      <c r="C769" t="s">
        <v>7</v>
      </c>
      <c r="D769" t="s">
        <v>66</v>
      </c>
      <c r="E769">
        <v>8</v>
      </c>
      <c r="F769">
        <v>96.8</v>
      </c>
      <c r="G769" t="s">
        <v>15</v>
      </c>
      <c r="H769" t="s">
        <v>63</v>
      </c>
      <c r="I769">
        <v>774.4</v>
      </c>
      <c r="J769">
        <f>Tabela1[[#This Row],[Valor Total]]/Tabela1[[#This Row],[Quantidade]]</f>
        <v>96.8</v>
      </c>
      <c r="K769" t="str">
        <f>TEXT(Tabela1[[#This Row],[Data]],"aaaa-mm")</f>
        <v>2025-04</v>
      </c>
    </row>
    <row r="770" spans="1:11">
      <c r="A770" s="1">
        <v>45769</v>
      </c>
      <c r="B770" t="s">
        <v>61</v>
      </c>
      <c r="C770" t="s">
        <v>6</v>
      </c>
      <c r="D770" t="s">
        <v>65</v>
      </c>
      <c r="E770">
        <v>2</v>
      </c>
      <c r="F770">
        <v>111.03</v>
      </c>
      <c r="G770" t="s">
        <v>13</v>
      </c>
      <c r="H770" t="s">
        <v>63</v>
      </c>
      <c r="I770">
        <v>222.06</v>
      </c>
      <c r="J770">
        <f>Tabela1[[#This Row],[Valor Total]]/Tabela1[[#This Row],[Quantidade]]</f>
        <v>111.03</v>
      </c>
      <c r="K770" t="str">
        <f>TEXT(Tabela1[[#This Row],[Data]],"aaaa-mm")</f>
        <v>2025-04</v>
      </c>
    </row>
    <row r="771" spans="1:11">
      <c r="A771" s="1">
        <v>45770</v>
      </c>
      <c r="B771" t="s">
        <v>61</v>
      </c>
      <c r="C771" t="s">
        <v>8</v>
      </c>
      <c r="D771" t="s">
        <v>62</v>
      </c>
      <c r="E771">
        <v>1</v>
      </c>
      <c r="F771">
        <v>255.38</v>
      </c>
      <c r="G771" t="s">
        <v>14</v>
      </c>
      <c r="H771" t="s">
        <v>67</v>
      </c>
      <c r="I771">
        <v>255.38</v>
      </c>
      <c r="J771">
        <f>Tabela1[[#This Row],[Valor Total]]/Tabela1[[#This Row],[Quantidade]]</f>
        <v>255.38</v>
      </c>
      <c r="K771" t="str">
        <f>TEXT(Tabela1[[#This Row],[Data]],"aaaa-mm")</f>
        <v>2025-04</v>
      </c>
    </row>
    <row r="772" spans="1:11">
      <c r="A772" s="1">
        <v>45772</v>
      </c>
      <c r="B772" t="s">
        <v>72</v>
      </c>
      <c r="C772" t="s">
        <v>5</v>
      </c>
      <c r="D772" t="s">
        <v>62</v>
      </c>
      <c r="E772">
        <v>5</v>
      </c>
      <c r="F772">
        <v>26.38</v>
      </c>
      <c r="G772" t="s">
        <v>13</v>
      </c>
      <c r="H772" t="s">
        <v>63</v>
      </c>
      <c r="I772">
        <v>131.9</v>
      </c>
      <c r="J772">
        <f>Tabela1[[#This Row],[Valor Total]]/Tabela1[[#This Row],[Quantidade]]</f>
        <v>26.380000000000003</v>
      </c>
      <c r="K772" t="str">
        <f>TEXT(Tabela1[[#This Row],[Data]],"aaaa-mm")</f>
        <v>2025-04</v>
      </c>
    </row>
    <row r="773" spans="1:11">
      <c r="A773" s="1">
        <v>45773</v>
      </c>
      <c r="B773" t="s">
        <v>61</v>
      </c>
      <c r="C773" t="s">
        <v>4</v>
      </c>
      <c r="D773" t="s">
        <v>73</v>
      </c>
      <c r="E773">
        <v>5</v>
      </c>
      <c r="F773">
        <v>425.63</v>
      </c>
      <c r="G773" t="s">
        <v>13</v>
      </c>
      <c r="H773" t="s">
        <v>63</v>
      </c>
      <c r="I773">
        <v>2128.15</v>
      </c>
      <c r="J773">
        <f>Tabela1[[#This Row],[Valor Total]]/Tabela1[[#This Row],[Quantidade]]</f>
        <v>425.63</v>
      </c>
      <c r="K773" t="str">
        <f>TEXT(Tabela1[[#This Row],[Data]],"aaaa-mm")</f>
        <v>2025-04</v>
      </c>
    </row>
    <row r="774" spans="1:11">
      <c r="A774" s="1">
        <v>45774</v>
      </c>
      <c r="B774" t="s">
        <v>68</v>
      </c>
      <c r="C774" t="s">
        <v>6</v>
      </c>
      <c r="D774" t="s">
        <v>66</v>
      </c>
      <c r="E774">
        <v>5</v>
      </c>
      <c r="F774">
        <v>121.75</v>
      </c>
      <c r="G774" t="s">
        <v>12</v>
      </c>
      <c r="H774" t="s">
        <v>67</v>
      </c>
      <c r="I774">
        <v>608.75</v>
      </c>
      <c r="J774">
        <f>Tabela1[[#This Row],[Valor Total]]/Tabela1[[#This Row],[Quantidade]]</f>
        <v>121.75</v>
      </c>
      <c r="K774" t="str">
        <f>TEXT(Tabela1[[#This Row],[Data]],"aaaa-mm")</f>
        <v>2025-04</v>
      </c>
    </row>
    <row r="775" spans="1:11">
      <c r="A775" s="1">
        <v>45775</v>
      </c>
      <c r="B775" t="s">
        <v>72</v>
      </c>
      <c r="C775" t="s">
        <v>8</v>
      </c>
      <c r="D775" t="s">
        <v>70</v>
      </c>
      <c r="E775">
        <v>6</v>
      </c>
      <c r="F775">
        <v>29.53</v>
      </c>
      <c r="G775" t="s">
        <v>13</v>
      </c>
      <c r="H775" t="s">
        <v>71</v>
      </c>
      <c r="I775">
        <v>177.18</v>
      </c>
      <c r="J775">
        <f>Tabela1[[#This Row],[Valor Total]]/Tabela1[[#This Row],[Quantidade]]</f>
        <v>29.53</v>
      </c>
      <c r="K775" t="str">
        <f>TEXT(Tabela1[[#This Row],[Data]],"aaaa-mm")</f>
        <v>2025-04</v>
      </c>
    </row>
    <row r="776" spans="1:11">
      <c r="A776" s="1">
        <v>45776</v>
      </c>
      <c r="B776" t="s">
        <v>69</v>
      </c>
      <c r="C776" t="s">
        <v>6</v>
      </c>
      <c r="D776" t="s">
        <v>66</v>
      </c>
      <c r="E776">
        <v>7</v>
      </c>
      <c r="F776">
        <v>418.35</v>
      </c>
      <c r="G776" t="s">
        <v>14</v>
      </c>
      <c r="H776" t="s">
        <v>64</v>
      </c>
      <c r="I776">
        <v>2928.45</v>
      </c>
      <c r="J776">
        <f>Tabela1[[#This Row],[Valor Total]]/Tabela1[[#This Row],[Quantidade]]</f>
        <v>418.34999999999997</v>
      </c>
      <c r="K776" t="str">
        <f>TEXT(Tabela1[[#This Row],[Data]],"aaaa-mm")</f>
        <v>2025-04</v>
      </c>
    </row>
    <row r="777" spans="1:11">
      <c r="A777" s="1">
        <v>45777</v>
      </c>
      <c r="B777" t="s">
        <v>61</v>
      </c>
      <c r="C777" t="s">
        <v>8</v>
      </c>
      <c r="D777" t="s">
        <v>66</v>
      </c>
      <c r="E777">
        <v>1</v>
      </c>
      <c r="F777">
        <v>487.65</v>
      </c>
      <c r="G777" t="s">
        <v>13</v>
      </c>
      <c r="H777" t="s">
        <v>63</v>
      </c>
      <c r="I777">
        <v>487.65</v>
      </c>
      <c r="J777">
        <f>Tabela1[[#This Row],[Valor Total]]/Tabela1[[#This Row],[Quantidade]]</f>
        <v>487.65</v>
      </c>
      <c r="K777" t="str">
        <f>TEXT(Tabela1[[#This Row],[Data]],"aaaa-mm")</f>
        <v>2025-04</v>
      </c>
    </row>
    <row r="778" spans="1:11">
      <c r="A778" s="1">
        <v>45778</v>
      </c>
      <c r="B778" t="s">
        <v>74</v>
      </c>
      <c r="C778" t="s">
        <v>7</v>
      </c>
      <c r="D778" t="s">
        <v>70</v>
      </c>
      <c r="E778">
        <v>2</v>
      </c>
      <c r="F778">
        <v>306.95999999999998</v>
      </c>
      <c r="G778" t="s">
        <v>14</v>
      </c>
      <c r="H778" t="s">
        <v>64</v>
      </c>
      <c r="I778">
        <v>613.91999999999996</v>
      </c>
      <c r="J778">
        <f>Tabela1[[#This Row],[Valor Total]]/Tabela1[[#This Row],[Quantidade]]</f>
        <v>306.95999999999998</v>
      </c>
      <c r="K778" t="str">
        <f>TEXT(Tabela1[[#This Row],[Data]],"aaaa-mm")</f>
        <v>2025-05</v>
      </c>
    </row>
    <row r="779" spans="1:11">
      <c r="A779" s="1">
        <v>45779</v>
      </c>
      <c r="B779" t="s">
        <v>61</v>
      </c>
      <c r="C779" t="s">
        <v>8</v>
      </c>
      <c r="D779" t="s">
        <v>73</v>
      </c>
      <c r="E779">
        <v>6</v>
      </c>
      <c r="F779">
        <v>481.35</v>
      </c>
      <c r="G779" t="s">
        <v>12</v>
      </c>
      <c r="H779" t="s">
        <v>67</v>
      </c>
      <c r="I779">
        <v>2888.1</v>
      </c>
      <c r="J779">
        <f>Tabela1[[#This Row],[Valor Total]]/Tabela1[[#This Row],[Quantidade]]</f>
        <v>481.34999999999997</v>
      </c>
      <c r="K779" t="str">
        <f>TEXT(Tabela1[[#This Row],[Data]],"aaaa-mm")</f>
        <v>2025-05</v>
      </c>
    </row>
    <row r="780" spans="1:11">
      <c r="A780" s="1">
        <v>45780</v>
      </c>
      <c r="B780" t="s">
        <v>74</v>
      </c>
      <c r="C780" t="s">
        <v>4</v>
      </c>
      <c r="D780" t="s">
        <v>62</v>
      </c>
      <c r="E780">
        <v>7</v>
      </c>
      <c r="F780">
        <v>451.1</v>
      </c>
      <c r="G780" t="s">
        <v>14</v>
      </c>
      <c r="H780" t="s">
        <v>64</v>
      </c>
      <c r="I780">
        <v>3157.7</v>
      </c>
      <c r="J780">
        <f>Tabela1[[#This Row],[Valor Total]]/Tabela1[[#This Row],[Quantidade]]</f>
        <v>451.09999999999997</v>
      </c>
      <c r="K780" t="str">
        <f>TEXT(Tabela1[[#This Row],[Data]],"aaaa-mm")</f>
        <v>2025-05</v>
      </c>
    </row>
    <row r="781" spans="1:11">
      <c r="A781" s="1">
        <v>45781</v>
      </c>
      <c r="B781" t="s">
        <v>72</v>
      </c>
      <c r="C781" t="s">
        <v>8</v>
      </c>
      <c r="D781" t="s">
        <v>73</v>
      </c>
      <c r="E781">
        <v>9</v>
      </c>
      <c r="F781">
        <v>188.7</v>
      </c>
      <c r="G781" t="s">
        <v>13</v>
      </c>
      <c r="H781" t="s">
        <v>63</v>
      </c>
      <c r="I781">
        <v>1698.3</v>
      </c>
      <c r="J781">
        <f>Tabela1[[#This Row],[Valor Total]]/Tabela1[[#This Row],[Quantidade]]</f>
        <v>188.7</v>
      </c>
      <c r="K781" t="str">
        <f>TEXT(Tabela1[[#This Row],[Data]],"aaaa-mm")</f>
        <v>2025-05</v>
      </c>
    </row>
    <row r="782" spans="1:11">
      <c r="A782" s="1">
        <v>45783</v>
      </c>
      <c r="B782" t="s">
        <v>69</v>
      </c>
      <c r="C782" t="s">
        <v>5</v>
      </c>
      <c r="D782" t="s">
        <v>70</v>
      </c>
      <c r="E782">
        <v>8</v>
      </c>
      <c r="F782">
        <v>108.53</v>
      </c>
      <c r="G782" t="s">
        <v>12</v>
      </c>
      <c r="H782" t="s">
        <v>64</v>
      </c>
      <c r="I782">
        <v>868.24</v>
      </c>
      <c r="J782">
        <f>Tabela1[[#This Row],[Valor Total]]/Tabela1[[#This Row],[Quantidade]]</f>
        <v>108.53</v>
      </c>
      <c r="K782" t="str">
        <f>TEXT(Tabela1[[#This Row],[Data]],"aaaa-mm")</f>
        <v>2025-05</v>
      </c>
    </row>
    <row r="783" spans="1:11">
      <c r="A783" s="1">
        <v>45784</v>
      </c>
      <c r="B783" t="s">
        <v>61</v>
      </c>
      <c r="C783" t="s">
        <v>5</v>
      </c>
      <c r="D783" t="s">
        <v>73</v>
      </c>
      <c r="E783">
        <v>7</v>
      </c>
      <c r="F783">
        <v>305.16000000000003</v>
      </c>
      <c r="G783" t="s">
        <v>13</v>
      </c>
      <c r="H783" t="s">
        <v>64</v>
      </c>
      <c r="I783">
        <v>2136.12</v>
      </c>
      <c r="J783">
        <f>Tabela1[[#This Row],[Valor Total]]/Tabela1[[#This Row],[Quantidade]]</f>
        <v>305.15999999999997</v>
      </c>
      <c r="K783" t="str">
        <f>TEXT(Tabela1[[#This Row],[Data]],"aaaa-mm")</f>
        <v>2025-05</v>
      </c>
    </row>
    <row r="784" spans="1:11">
      <c r="A784" s="1">
        <v>45785</v>
      </c>
      <c r="B784" t="s">
        <v>74</v>
      </c>
      <c r="C784" t="s">
        <v>7</v>
      </c>
      <c r="D784" t="s">
        <v>73</v>
      </c>
      <c r="E784">
        <v>2</v>
      </c>
      <c r="F784">
        <v>255.93</v>
      </c>
      <c r="G784" t="s">
        <v>13</v>
      </c>
      <c r="H784" t="s">
        <v>71</v>
      </c>
      <c r="I784">
        <v>511.86</v>
      </c>
      <c r="J784">
        <f>Tabela1[[#This Row],[Valor Total]]/Tabela1[[#This Row],[Quantidade]]</f>
        <v>255.93</v>
      </c>
      <c r="K784" t="str">
        <f>TEXT(Tabela1[[#This Row],[Data]],"aaaa-mm")</f>
        <v>2025-05</v>
      </c>
    </row>
    <row r="785" spans="1:11">
      <c r="A785" s="1">
        <v>45786</v>
      </c>
      <c r="B785" t="s">
        <v>72</v>
      </c>
      <c r="C785" t="s">
        <v>6</v>
      </c>
      <c r="D785" t="s">
        <v>73</v>
      </c>
      <c r="E785">
        <v>5</v>
      </c>
      <c r="F785">
        <v>44.86</v>
      </c>
      <c r="G785" t="s">
        <v>13</v>
      </c>
      <c r="H785" t="s">
        <v>64</v>
      </c>
      <c r="I785">
        <v>224.3</v>
      </c>
      <c r="J785">
        <f>Tabela1[[#This Row],[Valor Total]]/Tabela1[[#This Row],[Quantidade]]</f>
        <v>44.86</v>
      </c>
      <c r="K785" t="str">
        <f>TEXT(Tabela1[[#This Row],[Data]],"aaaa-mm")</f>
        <v>2025-05</v>
      </c>
    </row>
    <row r="786" spans="1:11">
      <c r="A786" s="1">
        <v>45787</v>
      </c>
      <c r="B786" t="s">
        <v>72</v>
      </c>
      <c r="C786" t="s">
        <v>8</v>
      </c>
      <c r="D786" t="s">
        <v>62</v>
      </c>
      <c r="E786">
        <v>1</v>
      </c>
      <c r="F786">
        <v>27.5</v>
      </c>
      <c r="G786" t="s">
        <v>11</v>
      </c>
      <c r="H786" t="s">
        <v>67</v>
      </c>
      <c r="I786">
        <v>27.5</v>
      </c>
      <c r="J786">
        <f>Tabela1[[#This Row],[Valor Total]]/Tabela1[[#This Row],[Quantidade]]</f>
        <v>27.5</v>
      </c>
      <c r="K786" t="str">
        <f>TEXT(Tabela1[[#This Row],[Data]],"aaaa-mm")</f>
        <v>2025-05</v>
      </c>
    </row>
    <row r="787" spans="1:11">
      <c r="A787" s="1">
        <v>45788</v>
      </c>
      <c r="B787" t="s">
        <v>74</v>
      </c>
      <c r="C787" t="s">
        <v>7</v>
      </c>
      <c r="D787" t="s">
        <v>73</v>
      </c>
      <c r="E787">
        <v>7</v>
      </c>
      <c r="F787">
        <v>62.95</v>
      </c>
      <c r="G787" t="s">
        <v>12</v>
      </c>
      <c r="H787" t="s">
        <v>63</v>
      </c>
      <c r="I787">
        <v>440.65</v>
      </c>
      <c r="J787">
        <f>Tabela1[[#This Row],[Valor Total]]/Tabela1[[#This Row],[Quantidade]]</f>
        <v>62.949999999999996</v>
      </c>
      <c r="K787" t="str">
        <f>TEXT(Tabela1[[#This Row],[Data]],"aaaa-mm")</f>
        <v>2025-05</v>
      </c>
    </row>
    <row r="788" spans="1:11">
      <c r="A788" s="1">
        <v>45789</v>
      </c>
      <c r="B788" t="s">
        <v>69</v>
      </c>
      <c r="C788" t="s">
        <v>7</v>
      </c>
      <c r="D788" t="s">
        <v>66</v>
      </c>
      <c r="E788">
        <v>5</v>
      </c>
      <c r="F788">
        <v>311.27999999999997</v>
      </c>
      <c r="G788" t="s">
        <v>11</v>
      </c>
      <c r="H788" t="s">
        <v>71</v>
      </c>
      <c r="I788">
        <v>1556.4</v>
      </c>
      <c r="J788">
        <f>Tabela1[[#This Row],[Valor Total]]/Tabela1[[#This Row],[Quantidade]]</f>
        <v>311.28000000000003</v>
      </c>
      <c r="K788" t="str">
        <f>TEXT(Tabela1[[#This Row],[Data]],"aaaa-mm")</f>
        <v>2025-05</v>
      </c>
    </row>
    <row r="789" spans="1:11">
      <c r="A789" s="1">
        <v>45790</v>
      </c>
      <c r="B789" t="s">
        <v>61</v>
      </c>
      <c r="C789" t="s">
        <v>4</v>
      </c>
      <c r="D789" t="s">
        <v>62</v>
      </c>
      <c r="E789">
        <v>8</v>
      </c>
      <c r="F789">
        <v>255.89</v>
      </c>
      <c r="G789" t="s">
        <v>14</v>
      </c>
      <c r="H789" t="s">
        <v>67</v>
      </c>
      <c r="I789">
        <v>2047.12</v>
      </c>
      <c r="J789">
        <f>Tabela1[[#This Row],[Valor Total]]/Tabela1[[#This Row],[Quantidade]]</f>
        <v>255.89</v>
      </c>
      <c r="K789" t="str">
        <f>TEXT(Tabela1[[#This Row],[Data]],"aaaa-mm")</f>
        <v>2025-05</v>
      </c>
    </row>
    <row r="790" spans="1:11">
      <c r="A790" s="1">
        <v>45791</v>
      </c>
      <c r="B790" t="s">
        <v>74</v>
      </c>
      <c r="C790" t="s">
        <v>5</v>
      </c>
      <c r="D790" t="s">
        <v>70</v>
      </c>
      <c r="E790">
        <v>6</v>
      </c>
      <c r="F790">
        <v>360.07</v>
      </c>
      <c r="G790" t="s">
        <v>13</v>
      </c>
      <c r="H790" t="s">
        <v>64</v>
      </c>
      <c r="I790">
        <v>2160.42</v>
      </c>
      <c r="J790">
        <f>Tabela1[[#This Row],[Valor Total]]/Tabela1[[#This Row],[Quantidade]]</f>
        <v>360.07</v>
      </c>
      <c r="K790" t="str">
        <f>TEXT(Tabela1[[#This Row],[Data]],"aaaa-mm")</f>
        <v>2025-05</v>
      </c>
    </row>
    <row r="791" spans="1:11">
      <c r="A791" s="1">
        <v>45792</v>
      </c>
      <c r="B791" t="s">
        <v>61</v>
      </c>
      <c r="C791" t="s">
        <v>4</v>
      </c>
      <c r="D791" t="s">
        <v>62</v>
      </c>
      <c r="E791">
        <v>5</v>
      </c>
      <c r="F791">
        <v>252.82</v>
      </c>
      <c r="G791" t="s">
        <v>12</v>
      </c>
      <c r="H791" t="s">
        <v>64</v>
      </c>
      <c r="I791">
        <v>1264.0999999999999</v>
      </c>
      <c r="J791">
        <f>Tabela1[[#This Row],[Valor Total]]/Tabela1[[#This Row],[Quantidade]]</f>
        <v>252.82</v>
      </c>
      <c r="K791" t="str">
        <f>TEXT(Tabela1[[#This Row],[Data]],"aaaa-mm")</f>
        <v>2025-05</v>
      </c>
    </row>
    <row r="792" spans="1:11">
      <c r="A792" s="1">
        <v>45794</v>
      </c>
      <c r="B792" t="s">
        <v>61</v>
      </c>
      <c r="C792" t="s">
        <v>5</v>
      </c>
      <c r="D792" t="s">
        <v>66</v>
      </c>
      <c r="E792">
        <v>7</v>
      </c>
      <c r="F792">
        <v>58.39</v>
      </c>
      <c r="G792" t="s">
        <v>11</v>
      </c>
      <c r="H792" t="s">
        <v>64</v>
      </c>
      <c r="I792">
        <v>408.73</v>
      </c>
      <c r="J792">
        <f>Tabela1[[#This Row],[Valor Total]]/Tabela1[[#This Row],[Quantidade]]</f>
        <v>58.39</v>
      </c>
      <c r="K792" t="str">
        <f>TEXT(Tabela1[[#This Row],[Data]],"aaaa-mm")</f>
        <v>2025-05</v>
      </c>
    </row>
    <row r="793" spans="1:11">
      <c r="A793" s="1">
        <v>45795</v>
      </c>
      <c r="B793" t="s">
        <v>68</v>
      </c>
      <c r="C793" t="s">
        <v>8</v>
      </c>
      <c r="D793" t="s">
        <v>65</v>
      </c>
      <c r="E793">
        <v>1</v>
      </c>
      <c r="F793">
        <v>488.19</v>
      </c>
      <c r="G793" t="s">
        <v>15</v>
      </c>
      <c r="H793" t="s">
        <v>71</v>
      </c>
      <c r="I793">
        <v>488.19</v>
      </c>
      <c r="J793">
        <f>Tabela1[[#This Row],[Valor Total]]/Tabela1[[#This Row],[Quantidade]]</f>
        <v>488.19</v>
      </c>
      <c r="K793" t="str">
        <f>TEXT(Tabela1[[#This Row],[Data]],"aaaa-mm")</f>
        <v>2025-05</v>
      </c>
    </row>
    <row r="794" spans="1:11">
      <c r="A794" s="1">
        <v>45796</v>
      </c>
      <c r="B794" t="s">
        <v>74</v>
      </c>
      <c r="C794" t="s">
        <v>5</v>
      </c>
      <c r="D794" t="s">
        <v>62</v>
      </c>
      <c r="E794">
        <v>8</v>
      </c>
      <c r="F794">
        <v>327.68</v>
      </c>
      <c r="G794" t="s">
        <v>14</v>
      </c>
      <c r="H794" t="s">
        <v>63</v>
      </c>
      <c r="I794">
        <v>2621.44</v>
      </c>
      <c r="J794">
        <f>Tabela1[[#This Row],[Valor Total]]/Tabela1[[#This Row],[Quantidade]]</f>
        <v>327.68</v>
      </c>
      <c r="K794" t="str">
        <f>TEXT(Tabela1[[#This Row],[Data]],"aaaa-mm")</f>
        <v>2025-05</v>
      </c>
    </row>
    <row r="795" spans="1:11">
      <c r="A795" s="1">
        <v>45797</v>
      </c>
      <c r="B795" t="s">
        <v>61</v>
      </c>
      <c r="C795" t="s">
        <v>6</v>
      </c>
      <c r="D795" t="s">
        <v>66</v>
      </c>
      <c r="E795">
        <v>4</v>
      </c>
      <c r="F795">
        <v>96.41</v>
      </c>
      <c r="G795" t="s">
        <v>13</v>
      </c>
      <c r="H795" t="s">
        <v>67</v>
      </c>
      <c r="I795">
        <v>385.64</v>
      </c>
      <c r="J795">
        <f>Tabela1[[#This Row],[Valor Total]]/Tabela1[[#This Row],[Quantidade]]</f>
        <v>96.41</v>
      </c>
      <c r="K795" t="str">
        <f>TEXT(Tabela1[[#This Row],[Data]],"aaaa-mm")</f>
        <v>2025-05</v>
      </c>
    </row>
    <row r="796" spans="1:11">
      <c r="A796" s="1">
        <v>45798</v>
      </c>
      <c r="B796" t="s">
        <v>69</v>
      </c>
      <c r="C796" t="s">
        <v>7</v>
      </c>
      <c r="D796" t="s">
        <v>73</v>
      </c>
      <c r="E796">
        <v>1</v>
      </c>
      <c r="F796">
        <v>487</v>
      </c>
      <c r="G796" t="s">
        <v>13</v>
      </c>
      <c r="H796" t="s">
        <v>71</v>
      </c>
      <c r="I796">
        <v>487</v>
      </c>
      <c r="J796">
        <f>Tabela1[[#This Row],[Valor Total]]/Tabela1[[#This Row],[Quantidade]]</f>
        <v>487</v>
      </c>
      <c r="K796" t="str">
        <f>TEXT(Tabela1[[#This Row],[Data]],"aaaa-mm")</f>
        <v>2025-05</v>
      </c>
    </row>
    <row r="797" spans="1:11">
      <c r="A797" s="1">
        <v>45799</v>
      </c>
      <c r="B797" t="s">
        <v>61</v>
      </c>
      <c r="C797" t="s">
        <v>8</v>
      </c>
      <c r="D797" t="s">
        <v>65</v>
      </c>
      <c r="E797">
        <v>7</v>
      </c>
      <c r="F797">
        <v>53.45</v>
      </c>
      <c r="G797" t="s">
        <v>13</v>
      </c>
      <c r="H797" t="s">
        <v>71</v>
      </c>
      <c r="I797">
        <v>374.15</v>
      </c>
      <c r="J797">
        <f>Tabela1[[#This Row],[Valor Total]]/Tabela1[[#This Row],[Quantidade]]</f>
        <v>53.449999999999996</v>
      </c>
      <c r="K797" t="str">
        <f>TEXT(Tabela1[[#This Row],[Data]],"aaaa-mm")</f>
        <v>2025-05</v>
      </c>
    </row>
    <row r="798" spans="1:11">
      <c r="A798" s="1">
        <v>45800</v>
      </c>
      <c r="B798" t="s">
        <v>68</v>
      </c>
      <c r="C798" t="s">
        <v>7</v>
      </c>
      <c r="D798" t="s">
        <v>70</v>
      </c>
      <c r="E798">
        <v>9</v>
      </c>
      <c r="F798">
        <v>70.09</v>
      </c>
      <c r="G798" t="s">
        <v>15</v>
      </c>
      <c r="H798" t="s">
        <v>71</v>
      </c>
      <c r="I798">
        <v>630.81000000000006</v>
      </c>
      <c r="J798">
        <f>Tabela1[[#This Row],[Valor Total]]/Tabela1[[#This Row],[Quantidade]]</f>
        <v>70.09</v>
      </c>
      <c r="K798" t="str">
        <f>TEXT(Tabela1[[#This Row],[Data]],"aaaa-mm")</f>
        <v>2025-05</v>
      </c>
    </row>
    <row r="799" spans="1:11">
      <c r="A799" s="1">
        <v>45801</v>
      </c>
      <c r="B799" t="s">
        <v>72</v>
      </c>
      <c r="C799" t="s">
        <v>4</v>
      </c>
      <c r="D799" t="s">
        <v>65</v>
      </c>
      <c r="E799">
        <v>9</v>
      </c>
      <c r="F799">
        <v>39.86</v>
      </c>
      <c r="G799" t="s">
        <v>11</v>
      </c>
      <c r="H799" t="s">
        <v>63</v>
      </c>
      <c r="I799">
        <v>358.74</v>
      </c>
      <c r="J799">
        <f>Tabela1[[#This Row],[Valor Total]]/Tabela1[[#This Row],[Quantidade]]</f>
        <v>39.86</v>
      </c>
      <c r="K799" t="str">
        <f>TEXT(Tabela1[[#This Row],[Data]],"aaaa-mm")</f>
        <v>2025-05</v>
      </c>
    </row>
    <row r="800" spans="1:11">
      <c r="A800" s="1">
        <v>45802</v>
      </c>
      <c r="B800" t="s">
        <v>68</v>
      </c>
      <c r="C800" t="s">
        <v>8</v>
      </c>
      <c r="D800" t="s">
        <v>65</v>
      </c>
      <c r="E800">
        <v>7</v>
      </c>
      <c r="F800">
        <v>364.45</v>
      </c>
      <c r="G800" t="s">
        <v>12</v>
      </c>
      <c r="H800" t="s">
        <v>67</v>
      </c>
      <c r="I800">
        <v>2551.15</v>
      </c>
      <c r="J800">
        <f>Tabela1[[#This Row],[Valor Total]]/Tabela1[[#This Row],[Quantidade]]</f>
        <v>364.45</v>
      </c>
      <c r="K800" t="str">
        <f>TEXT(Tabela1[[#This Row],[Data]],"aaaa-mm")</f>
        <v>2025-05</v>
      </c>
    </row>
    <row r="801" spans="1:11">
      <c r="A801" s="1">
        <v>45803</v>
      </c>
      <c r="B801" t="s">
        <v>72</v>
      </c>
      <c r="C801" t="s">
        <v>6</v>
      </c>
      <c r="D801" t="s">
        <v>65</v>
      </c>
      <c r="E801">
        <v>2</v>
      </c>
      <c r="F801">
        <v>482.04</v>
      </c>
      <c r="G801" t="s">
        <v>13</v>
      </c>
      <c r="H801" t="s">
        <v>64</v>
      </c>
      <c r="I801">
        <v>964.08</v>
      </c>
      <c r="J801">
        <f>Tabela1[[#This Row],[Valor Total]]/Tabela1[[#This Row],[Quantidade]]</f>
        <v>482.04</v>
      </c>
      <c r="K801" t="str">
        <f>TEXT(Tabela1[[#This Row],[Data]],"aaaa-mm")</f>
        <v>2025-05</v>
      </c>
    </row>
    <row r="802" spans="1:11">
      <c r="A802" s="1">
        <v>45804</v>
      </c>
      <c r="B802" t="s">
        <v>74</v>
      </c>
      <c r="C802" t="s">
        <v>7</v>
      </c>
      <c r="D802" t="s">
        <v>73</v>
      </c>
      <c r="E802">
        <v>1</v>
      </c>
      <c r="F802">
        <v>248.17</v>
      </c>
      <c r="G802" t="s">
        <v>13</v>
      </c>
      <c r="H802" t="s">
        <v>67</v>
      </c>
      <c r="I802">
        <v>248.17</v>
      </c>
      <c r="J802">
        <f>Tabela1[[#This Row],[Valor Total]]/Tabela1[[#This Row],[Quantidade]]</f>
        <v>248.17</v>
      </c>
      <c r="K802" t="str">
        <f>TEXT(Tabela1[[#This Row],[Data]],"aaaa-mm")</f>
        <v>2025-05</v>
      </c>
    </row>
    <row r="803" spans="1:11">
      <c r="A803" s="1">
        <v>45806</v>
      </c>
      <c r="B803" t="s">
        <v>72</v>
      </c>
      <c r="C803" t="s">
        <v>7</v>
      </c>
      <c r="D803" t="s">
        <v>70</v>
      </c>
      <c r="E803">
        <v>6</v>
      </c>
      <c r="F803">
        <v>173.69</v>
      </c>
      <c r="G803" t="s">
        <v>14</v>
      </c>
      <c r="H803" t="s">
        <v>67</v>
      </c>
      <c r="I803">
        <v>1042.1400000000001</v>
      </c>
      <c r="J803">
        <f>Tabela1[[#This Row],[Valor Total]]/Tabela1[[#This Row],[Quantidade]]</f>
        <v>173.69000000000003</v>
      </c>
      <c r="K803" t="str">
        <f>TEXT(Tabela1[[#This Row],[Data]],"aaaa-mm")</f>
        <v>2025-05</v>
      </c>
    </row>
    <row r="804" spans="1:11">
      <c r="A804" s="1">
        <v>45807</v>
      </c>
      <c r="B804" t="s">
        <v>69</v>
      </c>
      <c r="C804" t="s">
        <v>8</v>
      </c>
      <c r="D804" t="s">
        <v>70</v>
      </c>
      <c r="E804">
        <v>9</v>
      </c>
      <c r="F804">
        <v>150.41999999999999</v>
      </c>
      <c r="G804" t="s">
        <v>14</v>
      </c>
      <c r="H804" t="s">
        <v>64</v>
      </c>
      <c r="I804">
        <v>1353.78</v>
      </c>
      <c r="J804">
        <f>Tabela1[[#This Row],[Valor Total]]/Tabela1[[#This Row],[Quantidade]]</f>
        <v>150.41999999999999</v>
      </c>
      <c r="K804" t="str">
        <f>TEXT(Tabela1[[#This Row],[Data]],"aaaa-mm")</f>
        <v>2025-05</v>
      </c>
    </row>
    <row r="805" spans="1:11">
      <c r="A805" s="1">
        <v>45808</v>
      </c>
      <c r="B805" t="s">
        <v>69</v>
      </c>
      <c r="C805" t="s">
        <v>7</v>
      </c>
      <c r="D805" t="s">
        <v>70</v>
      </c>
      <c r="E805">
        <v>6</v>
      </c>
      <c r="F805">
        <v>20.79</v>
      </c>
      <c r="G805" t="s">
        <v>15</v>
      </c>
      <c r="H805" t="s">
        <v>64</v>
      </c>
      <c r="I805">
        <v>124.74</v>
      </c>
      <c r="J805">
        <f>Tabela1[[#This Row],[Valor Total]]/Tabela1[[#This Row],[Quantidade]]</f>
        <v>20.79</v>
      </c>
      <c r="K805" t="str">
        <f>TEXT(Tabela1[[#This Row],[Data]],"aaaa-mm")</f>
        <v>2025-05</v>
      </c>
    </row>
    <row r="806" spans="1:11">
      <c r="A806" s="1">
        <v>45809</v>
      </c>
      <c r="B806" t="s">
        <v>69</v>
      </c>
      <c r="C806" t="s">
        <v>6</v>
      </c>
      <c r="D806" t="s">
        <v>73</v>
      </c>
      <c r="E806">
        <v>1</v>
      </c>
      <c r="F806">
        <v>484.78</v>
      </c>
      <c r="G806" t="s">
        <v>11</v>
      </c>
      <c r="H806" t="s">
        <v>63</v>
      </c>
      <c r="I806">
        <v>484.78</v>
      </c>
      <c r="J806">
        <f>Tabela1[[#This Row],[Valor Total]]/Tabela1[[#This Row],[Quantidade]]</f>
        <v>484.78</v>
      </c>
      <c r="K806" t="str">
        <f>TEXT(Tabela1[[#This Row],[Data]],"aaaa-mm")</f>
        <v>2025-06</v>
      </c>
    </row>
    <row r="807" spans="1:11">
      <c r="A807" s="1">
        <v>45810</v>
      </c>
      <c r="B807" t="s">
        <v>61</v>
      </c>
      <c r="C807" t="s">
        <v>4</v>
      </c>
      <c r="D807" t="s">
        <v>73</v>
      </c>
      <c r="E807">
        <v>6</v>
      </c>
      <c r="F807">
        <v>434.79</v>
      </c>
      <c r="G807" t="s">
        <v>15</v>
      </c>
      <c r="H807" t="s">
        <v>67</v>
      </c>
      <c r="I807">
        <v>2608.7399999999998</v>
      </c>
      <c r="J807">
        <f>Tabela1[[#This Row],[Valor Total]]/Tabela1[[#This Row],[Quantidade]]</f>
        <v>434.78999999999996</v>
      </c>
      <c r="K807" t="str">
        <f>TEXT(Tabela1[[#This Row],[Data]],"aaaa-mm")</f>
        <v>2025-06</v>
      </c>
    </row>
    <row r="808" spans="1:11">
      <c r="A808" s="1">
        <v>45811</v>
      </c>
      <c r="B808" t="s">
        <v>68</v>
      </c>
      <c r="C808" t="s">
        <v>8</v>
      </c>
      <c r="D808" t="s">
        <v>66</v>
      </c>
      <c r="E808">
        <v>4</v>
      </c>
      <c r="F808">
        <v>280.63</v>
      </c>
      <c r="G808" t="s">
        <v>14</v>
      </c>
      <c r="H808" t="s">
        <v>71</v>
      </c>
      <c r="I808">
        <v>1122.52</v>
      </c>
      <c r="J808">
        <f>Tabela1[[#This Row],[Valor Total]]/Tabela1[[#This Row],[Quantidade]]</f>
        <v>280.63</v>
      </c>
      <c r="K808" t="str">
        <f>TEXT(Tabela1[[#This Row],[Data]],"aaaa-mm")</f>
        <v>2025-06</v>
      </c>
    </row>
    <row r="809" spans="1:11">
      <c r="A809" s="1">
        <v>45812</v>
      </c>
      <c r="B809" t="s">
        <v>68</v>
      </c>
      <c r="C809" t="s">
        <v>7</v>
      </c>
      <c r="D809" t="s">
        <v>73</v>
      </c>
      <c r="E809">
        <v>6</v>
      </c>
      <c r="F809">
        <v>159.36000000000001</v>
      </c>
      <c r="G809" t="s">
        <v>15</v>
      </c>
      <c r="H809" t="s">
        <v>63</v>
      </c>
      <c r="I809">
        <v>956.16000000000008</v>
      </c>
      <c r="J809">
        <f>Tabela1[[#This Row],[Valor Total]]/Tabela1[[#This Row],[Quantidade]]</f>
        <v>159.36000000000001</v>
      </c>
      <c r="K809" t="str">
        <f>TEXT(Tabela1[[#This Row],[Data]],"aaaa-mm")</f>
        <v>2025-06</v>
      </c>
    </row>
    <row r="810" spans="1:11">
      <c r="A810" s="1">
        <v>45813</v>
      </c>
      <c r="B810" t="s">
        <v>72</v>
      </c>
      <c r="C810" t="s">
        <v>5</v>
      </c>
      <c r="D810" t="s">
        <v>73</v>
      </c>
      <c r="E810">
        <v>5</v>
      </c>
      <c r="F810">
        <v>392.6</v>
      </c>
      <c r="G810" t="s">
        <v>14</v>
      </c>
      <c r="H810" t="s">
        <v>64</v>
      </c>
      <c r="I810">
        <v>1963</v>
      </c>
      <c r="J810">
        <f>Tabela1[[#This Row],[Valor Total]]/Tabela1[[#This Row],[Quantidade]]</f>
        <v>392.6</v>
      </c>
      <c r="K810" t="str">
        <f>TEXT(Tabela1[[#This Row],[Data]],"aaaa-mm")</f>
        <v>2025-06</v>
      </c>
    </row>
    <row r="811" spans="1:11">
      <c r="A811" s="1">
        <v>45814</v>
      </c>
      <c r="B811" t="s">
        <v>69</v>
      </c>
      <c r="C811" t="s">
        <v>5</v>
      </c>
      <c r="D811" t="s">
        <v>62</v>
      </c>
      <c r="E811">
        <v>4</v>
      </c>
      <c r="F811">
        <v>219.06</v>
      </c>
      <c r="G811" t="s">
        <v>13</v>
      </c>
      <c r="H811" t="s">
        <v>63</v>
      </c>
      <c r="I811">
        <v>876.24</v>
      </c>
      <c r="J811">
        <f>Tabela1[[#This Row],[Valor Total]]/Tabela1[[#This Row],[Quantidade]]</f>
        <v>219.06</v>
      </c>
      <c r="K811" t="str">
        <f>TEXT(Tabela1[[#This Row],[Data]],"aaaa-mm")</f>
        <v>2025-06</v>
      </c>
    </row>
    <row r="812" spans="1:11">
      <c r="A812" s="1">
        <v>45815</v>
      </c>
      <c r="B812" t="s">
        <v>74</v>
      </c>
      <c r="C812" t="s">
        <v>4</v>
      </c>
      <c r="D812" t="s">
        <v>62</v>
      </c>
      <c r="E812">
        <v>1</v>
      </c>
      <c r="F812">
        <v>491.53</v>
      </c>
      <c r="G812" t="s">
        <v>11</v>
      </c>
      <c r="H812" t="s">
        <v>71</v>
      </c>
      <c r="I812">
        <v>491.53</v>
      </c>
      <c r="J812">
        <f>Tabela1[[#This Row],[Valor Total]]/Tabela1[[#This Row],[Quantidade]]</f>
        <v>491.53</v>
      </c>
      <c r="K812" t="str">
        <f>TEXT(Tabela1[[#This Row],[Data]],"aaaa-mm")</f>
        <v>2025-06</v>
      </c>
    </row>
    <row r="813" spans="1:11">
      <c r="A813" s="1">
        <v>45817</v>
      </c>
      <c r="B813" t="s">
        <v>68</v>
      </c>
      <c r="C813" t="s">
        <v>5</v>
      </c>
      <c r="D813" t="s">
        <v>65</v>
      </c>
      <c r="E813">
        <v>7</v>
      </c>
      <c r="F813">
        <v>231.97</v>
      </c>
      <c r="G813" t="s">
        <v>13</v>
      </c>
      <c r="H813" t="s">
        <v>67</v>
      </c>
      <c r="I813">
        <v>1623.79</v>
      </c>
      <c r="J813">
        <f>Tabela1[[#This Row],[Valor Total]]/Tabela1[[#This Row],[Quantidade]]</f>
        <v>231.97</v>
      </c>
      <c r="K813" t="str">
        <f>TEXT(Tabela1[[#This Row],[Data]],"aaaa-mm")</f>
        <v>2025-06</v>
      </c>
    </row>
    <row r="814" spans="1:11">
      <c r="A814" s="1">
        <v>45818</v>
      </c>
      <c r="B814" t="s">
        <v>61</v>
      </c>
      <c r="C814" t="s">
        <v>4</v>
      </c>
      <c r="D814" t="s">
        <v>73</v>
      </c>
      <c r="E814">
        <v>1</v>
      </c>
      <c r="F814">
        <v>449.5</v>
      </c>
      <c r="G814" t="s">
        <v>15</v>
      </c>
      <c r="H814" t="s">
        <v>67</v>
      </c>
      <c r="I814">
        <v>449.5</v>
      </c>
      <c r="J814">
        <f>Tabela1[[#This Row],[Valor Total]]/Tabela1[[#This Row],[Quantidade]]</f>
        <v>449.5</v>
      </c>
      <c r="K814" t="str">
        <f>TEXT(Tabela1[[#This Row],[Data]],"aaaa-mm")</f>
        <v>2025-06</v>
      </c>
    </row>
    <row r="815" spans="1:11">
      <c r="A815" s="1">
        <v>45819</v>
      </c>
      <c r="B815" t="s">
        <v>68</v>
      </c>
      <c r="C815" t="s">
        <v>5</v>
      </c>
      <c r="D815" t="s">
        <v>73</v>
      </c>
      <c r="E815">
        <v>6</v>
      </c>
      <c r="F815">
        <v>438.54</v>
      </c>
      <c r="G815" t="s">
        <v>11</v>
      </c>
      <c r="H815" t="s">
        <v>67</v>
      </c>
      <c r="I815">
        <v>2631.24</v>
      </c>
      <c r="J815">
        <f>Tabela1[[#This Row],[Valor Total]]/Tabela1[[#This Row],[Quantidade]]</f>
        <v>438.53999999999996</v>
      </c>
      <c r="K815" t="str">
        <f>TEXT(Tabela1[[#This Row],[Data]],"aaaa-mm")</f>
        <v>2025-06</v>
      </c>
    </row>
    <row r="816" spans="1:11">
      <c r="A816" s="1">
        <v>45820</v>
      </c>
      <c r="B816" t="s">
        <v>69</v>
      </c>
      <c r="C816" t="s">
        <v>4</v>
      </c>
      <c r="D816" t="s">
        <v>70</v>
      </c>
      <c r="E816">
        <v>8</v>
      </c>
      <c r="F816">
        <v>379.38</v>
      </c>
      <c r="G816" t="s">
        <v>11</v>
      </c>
      <c r="H816" t="s">
        <v>64</v>
      </c>
      <c r="I816">
        <v>3035.04</v>
      </c>
      <c r="J816">
        <f>Tabela1[[#This Row],[Valor Total]]/Tabela1[[#This Row],[Quantidade]]</f>
        <v>379.38</v>
      </c>
      <c r="K816" t="str">
        <f>TEXT(Tabela1[[#This Row],[Data]],"aaaa-mm")</f>
        <v>2025-06</v>
      </c>
    </row>
    <row r="817" spans="1:11">
      <c r="A817" s="1">
        <v>45821</v>
      </c>
      <c r="B817" t="s">
        <v>72</v>
      </c>
      <c r="C817" t="s">
        <v>6</v>
      </c>
      <c r="D817" t="s">
        <v>65</v>
      </c>
      <c r="E817">
        <v>1</v>
      </c>
      <c r="F817">
        <v>318.63</v>
      </c>
      <c r="G817" t="s">
        <v>15</v>
      </c>
      <c r="H817" t="s">
        <v>63</v>
      </c>
      <c r="I817">
        <v>318.63</v>
      </c>
      <c r="J817">
        <f>Tabela1[[#This Row],[Valor Total]]/Tabela1[[#This Row],[Quantidade]]</f>
        <v>318.63</v>
      </c>
      <c r="K817" t="str">
        <f>TEXT(Tabela1[[#This Row],[Data]],"aaaa-mm")</f>
        <v>2025-06</v>
      </c>
    </row>
    <row r="818" spans="1:11">
      <c r="A818" s="1">
        <v>45822</v>
      </c>
      <c r="B818" t="s">
        <v>72</v>
      </c>
      <c r="C818" t="s">
        <v>7</v>
      </c>
      <c r="D818" t="s">
        <v>66</v>
      </c>
      <c r="E818">
        <v>1</v>
      </c>
      <c r="F818">
        <v>235.11</v>
      </c>
      <c r="G818" t="s">
        <v>15</v>
      </c>
      <c r="H818" t="s">
        <v>64</v>
      </c>
      <c r="I818">
        <v>235.11</v>
      </c>
      <c r="J818">
        <f>Tabela1[[#This Row],[Valor Total]]/Tabela1[[#This Row],[Quantidade]]</f>
        <v>235.11</v>
      </c>
      <c r="K818" t="str">
        <f>TEXT(Tabela1[[#This Row],[Data]],"aaaa-mm")</f>
        <v>2025-06</v>
      </c>
    </row>
    <row r="819" spans="1:11">
      <c r="A819" s="1">
        <v>45823</v>
      </c>
      <c r="B819" t="s">
        <v>74</v>
      </c>
      <c r="C819" t="s">
        <v>6</v>
      </c>
      <c r="D819" t="s">
        <v>70</v>
      </c>
      <c r="E819">
        <v>4</v>
      </c>
      <c r="F819">
        <v>386.44</v>
      </c>
      <c r="G819" t="s">
        <v>13</v>
      </c>
      <c r="H819" t="s">
        <v>67</v>
      </c>
      <c r="I819">
        <v>1545.76</v>
      </c>
      <c r="J819">
        <f>Tabela1[[#This Row],[Valor Total]]/Tabela1[[#This Row],[Quantidade]]</f>
        <v>386.44</v>
      </c>
      <c r="K819" t="str">
        <f>TEXT(Tabela1[[#This Row],[Data]],"aaaa-mm")</f>
        <v>2025-06</v>
      </c>
    </row>
    <row r="820" spans="1:11">
      <c r="A820" s="1">
        <v>45824</v>
      </c>
      <c r="B820" t="s">
        <v>68</v>
      </c>
      <c r="C820" t="s">
        <v>6</v>
      </c>
      <c r="D820" t="s">
        <v>70</v>
      </c>
      <c r="E820">
        <v>2</v>
      </c>
      <c r="F820">
        <v>207.86</v>
      </c>
      <c r="G820" t="s">
        <v>14</v>
      </c>
      <c r="H820" t="s">
        <v>64</v>
      </c>
      <c r="I820">
        <v>415.72</v>
      </c>
      <c r="J820">
        <f>Tabela1[[#This Row],[Valor Total]]/Tabela1[[#This Row],[Quantidade]]</f>
        <v>207.86</v>
      </c>
      <c r="K820" t="str">
        <f>TEXT(Tabela1[[#This Row],[Data]],"aaaa-mm")</f>
        <v>2025-06</v>
      </c>
    </row>
    <row r="821" spans="1:11">
      <c r="A821" s="1">
        <v>45825</v>
      </c>
      <c r="B821" t="s">
        <v>68</v>
      </c>
      <c r="C821" t="s">
        <v>4</v>
      </c>
      <c r="D821" t="s">
        <v>65</v>
      </c>
      <c r="E821">
        <v>8</v>
      </c>
      <c r="F821">
        <v>269.02999999999997</v>
      </c>
      <c r="G821" t="s">
        <v>13</v>
      </c>
      <c r="H821" t="s">
        <v>67</v>
      </c>
      <c r="I821">
        <v>2152.2399999999998</v>
      </c>
      <c r="J821">
        <f>Tabela1[[#This Row],[Valor Total]]/Tabela1[[#This Row],[Quantidade]]</f>
        <v>269.02999999999997</v>
      </c>
      <c r="K821" t="str">
        <f>TEXT(Tabela1[[#This Row],[Data]],"aaaa-mm")</f>
        <v>2025-06</v>
      </c>
    </row>
    <row r="822" spans="1:11">
      <c r="A822" s="1">
        <v>45826</v>
      </c>
      <c r="B822" t="s">
        <v>72</v>
      </c>
      <c r="C822" t="s">
        <v>8</v>
      </c>
      <c r="D822" t="s">
        <v>62</v>
      </c>
      <c r="E822">
        <v>3</v>
      </c>
      <c r="F822">
        <v>479.27</v>
      </c>
      <c r="G822" t="s">
        <v>12</v>
      </c>
      <c r="H822" t="s">
        <v>71</v>
      </c>
      <c r="I822">
        <v>1437.81</v>
      </c>
      <c r="J822">
        <f>Tabela1[[#This Row],[Valor Total]]/Tabela1[[#This Row],[Quantidade]]</f>
        <v>479.27</v>
      </c>
      <c r="K822" t="str">
        <f>TEXT(Tabela1[[#This Row],[Data]],"aaaa-mm")</f>
        <v>2025-06</v>
      </c>
    </row>
    <row r="823" spans="1:11">
      <c r="A823" s="1">
        <v>45827</v>
      </c>
      <c r="B823" t="s">
        <v>69</v>
      </c>
      <c r="C823" t="s">
        <v>8</v>
      </c>
      <c r="D823" t="s">
        <v>70</v>
      </c>
      <c r="E823">
        <v>1</v>
      </c>
      <c r="F823">
        <v>433.72</v>
      </c>
      <c r="G823" t="s">
        <v>13</v>
      </c>
      <c r="H823" t="s">
        <v>63</v>
      </c>
      <c r="I823">
        <v>433.72</v>
      </c>
      <c r="J823">
        <f>Tabela1[[#This Row],[Valor Total]]/Tabela1[[#This Row],[Quantidade]]</f>
        <v>433.72</v>
      </c>
      <c r="K823" t="str">
        <f>TEXT(Tabela1[[#This Row],[Data]],"aaaa-mm")</f>
        <v>2025-06</v>
      </c>
    </row>
    <row r="824" spans="1:11">
      <c r="A824" s="1">
        <v>45829</v>
      </c>
      <c r="B824" t="s">
        <v>69</v>
      </c>
      <c r="C824" t="s">
        <v>4</v>
      </c>
      <c r="D824" t="s">
        <v>70</v>
      </c>
      <c r="E824">
        <v>2</v>
      </c>
      <c r="F824">
        <v>351.11</v>
      </c>
      <c r="G824" t="s">
        <v>11</v>
      </c>
      <c r="H824" t="s">
        <v>63</v>
      </c>
      <c r="I824">
        <v>702.22</v>
      </c>
      <c r="J824">
        <f>Tabela1[[#This Row],[Valor Total]]/Tabela1[[#This Row],[Quantidade]]</f>
        <v>351.11</v>
      </c>
      <c r="K824" t="str">
        <f>TEXT(Tabela1[[#This Row],[Data]],"aaaa-mm")</f>
        <v>2025-06</v>
      </c>
    </row>
    <row r="825" spans="1:11">
      <c r="A825" s="1">
        <v>45830</v>
      </c>
      <c r="B825" t="s">
        <v>74</v>
      </c>
      <c r="C825" t="s">
        <v>7</v>
      </c>
      <c r="D825" t="s">
        <v>73</v>
      </c>
      <c r="E825">
        <v>6</v>
      </c>
      <c r="F825">
        <v>281.52</v>
      </c>
      <c r="G825" t="s">
        <v>11</v>
      </c>
      <c r="H825" t="s">
        <v>67</v>
      </c>
      <c r="I825">
        <v>1689.12</v>
      </c>
      <c r="J825">
        <f>Tabela1[[#This Row],[Valor Total]]/Tabela1[[#This Row],[Quantidade]]</f>
        <v>281.52</v>
      </c>
      <c r="K825" t="str">
        <f>TEXT(Tabela1[[#This Row],[Data]],"aaaa-mm")</f>
        <v>2025-06</v>
      </c>
    </row>
    <row r="826" spans="1:11">
      <c r="A826" s="1">
        <v>45831</v>
      </c>
      <c r="B826" t="s">
        <v>68</v>
      </c>
      <c r="C826" t="s">
        <v>6</v>
      </c>
      <c r="D826" t="s">
        <v>62</v>
      </c>
      <c r="E826">
        <v>6</v>
      </c>
      <c r="F826">
        <v>31.65</v>
      </c>
      <c r="G826" t="s">
        <v>15</v>
      </c>
      <c r="H826" t="s">
        <v>63</v>
      </c>
      <c r="I826">
        <v>189.9</v>
      </c>
      <c r="J826">
        <f>Tabela1[[#This Row],[Valor Total]]/Tabela1[[#This Row],[Quantidade]]</f>
        <v>31.650000000000002</v>
      </c>
      <c r="K826" t="str">
        <f>TEXT(Tabela1[[#This Row],[Data]],"aaaa-mm")</f>
        <v>2025-06</v>
      </c>
    </row>
    <row r="827" spans="1:11">
      <c r="A827" s="1">
        <v>45832</v>
      </c>
      <c r="B827" t="s">
        <v>72</v>
      </c>
      <c r="C827" t="s">
        <v>7</v>
      </c>
      <c r="D827" t="s">
        <v>62</v>
      </c>
      <c r="E827">
        <v>4</v>
      </c>
      <c r="F827">
        <v>182.9</v>
      </c>
      <c r="G827" t="s">
        <v>15</v>
      </c>
      <c r="H827" t="s">
        <v>67</v>
      </c>
      <c r="I827">
        <v>731.6</v>
      </c>
      <c r="J827">
        <f>Tabela1[[#This Row],[Valor Total]]/Tabela1[[#This Row],[Quantidade]]</f>
        <v>182.9</v>
      </c>
      <c r="K827" t="str">
        <f>TEXT(Tabela1[[#This Row],[Data]],"aaaa-mm")</f>
        <v>2025-06</v>
      </c>
    </row>
    <row r="828" spans="1:11">
      <c r="A828" s="1">
        <v>45833</v>
      </c>
      <c r="B828" t="s">
        <v>69</v>
      </c>
      <c r="C828" t="s">
        <v>7</v>
      </c>
      <c r="D828" t="s">
        <v>66</v>
      </c>
      <c r="E828">
        <v>7</v>
      </c>
      <c r="F828">
        <v>373.69</v>
      </c>
      <c r="G828" t="s">
        <v>15</v>
      </c>
      <c r="H828" t="s">
        <v>67</v>
      </c>
      <c r="I828">
        <v>2615.83</v>
      </c>
      <c r="J828">
        <f>Tabela1[[#This Row],[Valor Total]]/Tabela1[[#This Row],[Quantidade]]</f>
        <v>373.69</v>
      </c>
      <c r="K828" t="str">
        <f>TEXT(Tabela1[[#This Row],[Data]],"aaaa-mm")</f>
        <v>2025-06</v>
      </c>
    </row>
    <row r="829" spans="1:11">
      <c r="A829" s="1">
        <v>45834</v>
      </c>
      <c r="B829" t="s">
        <v>61</v>
      </c>
      <c r="C829" t="s">
        <v>5</v>
      </c>
      <c r="D829" t="s">
        <v>66</v>
      </c>
      <c r="E829">
        <v>1</v>
      </c>
      <c r="F829">
        <v>425.25</v>
      </c>
      <c r="G829" t="s">
        <v>11</v>
      </c>
      <c r="H829" t="s">
        <v>71</v>
      </c>
      <c r="I829">
        <v>425.25</v>
      </c>
      <c r="J829">
        <f>Tabela1[[#This Row],[Valor Total]]/Tabela1[[#This Row],[Quantidade]]</f>
        <v>425.25</v>
      </c>
      <c r="K829" t="str">
        <f>TEXT(Tabela1[[#This Row],[Data]],"aaaa-mm")</f>
        <v>2025-06</v>
      </c>
    </row>
    <row r="830" spans="1:11">
      <c r="A830" s="1">
        <v>45835</v>
      </c>
      <c r="B830" t="s">
        <v>72</v>
      </c>
      <c r="C830" t="s">
        <v>4</v>
      </c>
      <c r="D830" t="s">
        <v>65</v>
      </c>
      <c r="E830">
        <v>2</v>
      </c>
      <c r="F830">
        <v>235.98</v>
      </c>
      <c r="G830" t="s">
        <v>13</v>
      </c>
      <c r="H830" t="s">
        <v>63</v>
      </c>
      <c r="I830">
        <v>471.96</v>
      </c>
      <c r="J830">
        <f>Tabela1[[#This Row],[Valor Total]]/Tabela1[[#This Row],[Quantidade]]</f>
        <v>235.98</v>
      </c>
      <c r="K830" t="str">
        <f>TEXT(Tabela1[[#This Row],[Data]],"aaaa-mm")</f>
        <v>2025-06</v>
      </c>
    </row>
    <row r="831" spans="1:11">
      <c r="A831" s="1">
        <v>45836</v>
      </c>
      <c r="B831" t="s">
        <v>74</v>
      </c>
      <c r="C831" t="s">
        <v>8</v>
      </c>
      <c r="D831" t="s">
        <v>73</v>
      </c>
      <c r="E831">
        <v>8</v>
      </c>
      <c r="F831">
        <v>316.92</v>
      </c>
      <c r="G831" t="s">
        <v>15</v>
      </c>
      <c r="H831" t="s">
        <v>63</v>
      </c>
      <c r="I831">
        <v>2535.36</v>
      </c>
      <c r="J831">
        <f>Tabela1[[#This Row],[Valor Total]]/Tabela1[[#This Row],[Quantidade]]</f>
        <v>316.92</v>
      </c>
      <c r="K831" t="str">
        <f>TEXT(Tabela1[[#This Row],[Data]],"aaaa-mm")</f>
        <v>2025-06</v>
      </c>
    </row>
    <row r="832" spans="1:11">
      <c r="A832" s="1">
        <v>45837</v>
      </c>
      <c r="B832" t="s">
        <v>72</v>
      </c>
      <c r="C832" t="s">
        <v>8</v>
      </c>
      <c r="D832" t="s">
        <v>65</v>
      </c>
      <c r="E832">
        <v>9</v>
      </c>
      <c r="F832">
        <v>68.5</v>
      </c>
      <c r="G832" t="s">
        <v>12</v>
      </c>
      <c r="H832" t="s">
        <v>71</v>
      </c>
      <c r="I832">
        <v>616.5</v>
      </c>
      <c r="J832">
        <f>Tabela1[[#This Row],[Valor Total]]/Tabela1[[#This Row],[Quantidade]]</f>
        <v>68.5</v>
      </c>
      <c r="K832" t="str">
        <f>TEXT(Tabela1[[#This Row],[Data]],"aaaa-mm")</f>
        <v>2025-06</v>
      </c>
    </row>
    <row r="833" spans="1:11">
      <c r="A833" s="1">
        <v>45838</v>
      </c>
      <c r="B833" t="s">
        <v>72</v>
      </c>
      <c r="C833" t="s">
        <v>8</v>
      </c>
      <c r="D833" t="s">
        <v>62</v>
      </c>
      <c r="E833">
        <v>3</v>
      </c>
      <c r="F833">
        <v>264.8</v>
      </c>
      <c r="G833" t="s">
        <v>14</v>
      </c>
      <c r="H833" t="s">
        <v>67</v>
      </c>
      <c r="I833">
        <v>794.40000000000009</v>
      </c>
      <c r="J833">
        <f>Tabela1[[#This Row],[Valor Total]]/Tabela1[[#This Row],[Quantidade]]</f>
        <v>264.8</v>
      </c>
      <c r="K833" t="str">
        <f>TEXT(Tabela1[[#This Row],[Data]],"aaaa-mm")</f>
        <v>2025-06</v>
      </c>
    </row>
    <row r="834" spans="1:11">
      <c r="A834" s="1">
        <v>45840</v>
      </c>
      <c r="B834" t="s">
        <v>74</v>
      </c>
      <c r="C834" t="s">
        <v>7</v>
      </c>
      <c r="D834" t="s">
        <v>65</v>
      </c>
      <c r="E834">
        <v>3</v>
      </c>
      <c r="F834">
        <v>56.86</v>
      </c>
      <c r="G834" t="s">
        <v>11</v>
      </c>
      <c r="H834" t="s">
        <v>64</v>
      </c>
      <c r="I834">
        <v>170.58</v>
      </c>
      <c r="J834">
        <f>Tabela1[[#This Row],[Valor Total]]/Tabela1[[#This Row],[Quantidade]]</f>
        <v>56.860000000000007</v>
      </c>
      <c r="K834" t="str">
        <f>TEXT(Tabela1[[#This Row],[Data]],"aaaa-mm")</f>
        <v>2025-07</v>
      </c>
    </row>
    <row r="835" spans="1:11">
      <c r="A835" s="1">
        <v>45841</v>
      </c>
      <c r="B835" t="s">
        <v>72</v>
      </c>
      <c r="C835" t="s">
        <v>4</v>
      </c>
      <c r="D835" t="s">
        <v>70</v>
      </c>
      <c r="E835">
        <v>8</v>
      </c>
      <c r="F835">
        <v>109.34</v>
      </c>
      <c r="G835" t="s">
        <v>13</v>
      </c>
      <c r="H835" t="s">
        <v>67</v>
      </c>
      <c r="I835">
        <v>874.72</v>
      </c>
      <c r="J835">
        <f>Tabela1[[#This Row],[Valor Total]]/Tabela1[[#This Row],[Quantidade]]</f>
        <v>109.34</v>
      </c>
      <c r="K835" t="str">
        <f>TEXT(Tabela1[[#This Row],[Data]],"aaaa-mm")</f>
        <v>2025-07</v>
      </c>
    </row>
    <row r="836" spans="1:11">
      <c r="A836" s="1">
        <v>45842</v>
      </c>
      <c r="B836" t="s">
        <v>72</v>
      </c>
      <c r="C836" t="s">
        <v>7</v>
      </c>
      <c r="D836" t="s">
        <v>65</v>
      </c>
      <c r="E836">
        <v>4</v>
      </c>
      <c r="F836">
        <v>358.55</v>
      </c>
      <c r="G836" t="s">
        <v>13</v>
      </c>
      <c r="H836" t="s">
        <v>63</v>
      </c>
      <c r="I836">
        <v>1434.2</v>
      </c>
      <c r="J836">
        <f>Tabela1[[#This Row],[Valor Total]]/Tabela1[[#This Row],[Quantidade]]</f>
        <v>358.55</v>
      </c>
      <c r="K836" t="str">
        <f>TEXT(Tabela1[[#This Row],[Data]],"aaaa-mm")</f>
        <v>2025-07</v>
      </c>
    </row>
    <row r="837" spans="1:11">
      <c r="A837" s="1">
        <v>45843</v>
      </c>
      <c r="B837" t="s">
        <v>69</v>
      </c>
      <c r="C837" t="s">
        <v>5</v>
      </c>
      <c r="D837" t="s">
        <v>70</v>
      </c>
      <c r="E837">
        <v>6</v>
      </c>
      <c r="F837">
        <v>480.72</v>
      </c>
      <c r="G837" t="s">
        <v>11</v>
      </c>
      <c r="H837" t="s">
        <v>67</v>
      </c>
      <c r="I837">
        <v>2884.32</v>
      </c>
      <c r="J837">
        <f>Tabela1[[#This Row],[Valor Total]]/Tabela1[[#This Row],[Quantidade]]</f>
        <v>480.72</v>
      </c>
      <c r="K837" t="str">
        <f>TEXT(Tabela1[[#This Row],[Data]],"aaaa-mm")</f>
        <v>2025-07</v>
      </c>
    </row>
    <row r="838" spans="1:11">
      <c r="A838" s="1">
        <v>45844</v>
      </c>
      <c r="B838" t="s">
        <v>74</v>
      </c>
      <c r="C838" t="s">
        <v>7</v>
      </c>
      <c r="D838" t="s">
        <v>73</v>
      </c>
      <c r="E838">
        <v>3</v>
      </c>
      <c r="F838">
        <v>333.99</v>
      </c>
      <c r="G838" t="s">
        <v>11</v>
      </c>
      <c r="H838" t="s">
        <v>67</v>
      </c>
      <c r="I838">
        <v>1001.97</v>
      </c>
      <c r="J838">
        <f>Tabela1[[#This Row],[Valor Total]]/Tabela1[[#This Row],[Quantidade]]</f>
        <v>333.99</v>
      </c>
      <c r="K838" t="str">
        <f>TEXT(Tabela1[[#This Row],[Data]],"aaaa-mm")</f>
        <v>2025-07</v>
      </c>
    </row>
    <row r="839" spans="1:11">
      <c r="A839" s="1">
        <v>45845</v>
      </c>
      <c r="B839" t="s">
        <v>69</v>
      </c>
      <c r="C839" t="s">
        <v>4</v>
      </c>
      <c r="D839" t="s">
        <v>70</v>
      </c>
      <c r="E839">
        <v>1</v>
      </c>
      <c r="F839">
        <v>282.48</v>
      </c>
      <c r="G839" t="s">
        <v>11</v>
      </c>
      <c r="H839" t="s">
        <v>63</v>
      </c>
      <c r="I839">
        <v>282.48</v>
      </c>
      <c r="J839">
        <f>Tabela1[[#This Row],[Valor Total]]/Tabela1[[#This Row],[Quantidade]]</f>
        <v>282.48</v>
      </c>
      <c r="K839" t="str">
        <f>TEXT(Tabela1[[#This Row],[Data]],"aaaa-mm")</f>
        <v>2025-07</v>
      </c>
    </row>
    <row r="840" spans="1:11">
      <c r="A840" s="1">
        <v>45846</v>
      </c>
      <c r="B840" t="s">
        <v>61</v>
      </c>
      <c r="C840" t="s">
        <v>4</v>
      </c>
      <c r="D840" t="s">
        <v>70</v>
      </c>
      <c r="E840">
        <v>1</v>
      </c>
      <c r="F840">
        <v>339.06</v>
      </c>
      <c r="G840" t="s">
        <v>14</v>
      </c>
      <c r="H840" t="s">
        <v>63</v>
      </c>
      <c r="I840">
        <v>339.06</v>
      </c>
      <c r="J840">
        <f>Tabela1[[#This Row],[Valor Total]]/Tabela1[[#This Row],[Quantidade]]</f>
        <v>339.06</v>
      </c>
      <c r="K840" t="str">
        <f>TEXT(Tabela1[[#This Row],[Data]],"aaaa-mm")</f>
        <v>2025-07</v>
      </c>
    </row>
    <row r="841" spans="1:11">
      <c r="A841" s="1">
        <v>45847</v>
      </c>
      <c r="B841" t="s">
        <v>74</v>
      </c>
      <c r="C841" t="s">
        <v>4</v>
      </c>
      <c r="D841" t="s">
        <v>73</v>
      </c>
      <c r="E841">
        <v>5</v>
      </c>
      <c r="F841">
        <v>296.76</v>
      </c>
      <c r="G841" t="s">
        <v>13</v>
      </c>
      <c r="H841" t="s">
        <v>67</v>
      </c>
      <c r="I841">
        <v>1483.8</v>
      </c>
      <c r="J841">
        <f>Tabela1[[#This Row],[Valor Total]]/Tabela1[[#This Row],[Quantidade]]</f>
        <v>296.76</v>
      </c>
      <c r="K841" t="str">
        <f>TEXT(Tabela1[[#This Row],[Data]],"aaaa-mm")</f>
        <v>2025-07</v>
      </c>
    </row>
    <row r="842" spans="1:11">
      <c r="A842" s="1">
        <v>45848</v>
      </c>
      <c r="B842" t="s">
        <v>74</v>
      </c>
      <c r="C842" t="s">
        <v>6</v>
      </c>
      <c r="D842" t="s">
        <v>65</v>
      </c>
      <c r="E842">
        <v>8</v>
      </c>
      <c r="F842">
        <v>257.61</v>
      </c>
      <c r="G842" t="s">
        <v>12</v>
      </c>
      <c r="H842" t="s">
        <v>64</v>
      </c>
      <c r="I842">
        <v>2060.88</v>
      </c>
      <c r="J842">
        <f>Tabela1[[#This Row],[Valor Total]]/Tabela1[[#This Row],[Quantidade]]</f>
        <v>257.61</v>
      </c>
      <c r="K842" t="str">
        <f>TEXT(Tabela1[[#This Row],[Data]],"aaaa-mm")</f>
        <v>2025-07</v>
      </c>
    </row>
    <row r="843" spans="1:11">
      <c r="A843" s="1">
        <v>45849</v>
      </c>
      <c r="B843" t="s">
        <v>74</v>
      </c>
      <c r="C843" t="s">
        <v>5</v>
      </c>
      <c r="D843" t="s">
        <v>62</v>
      </c>
      <c r="E843">
        <v>7</v>
      </c>
      <c r="F843">
        <v>330.93</v>
      </c>
      <c r="G843" t="s">
        <v>15</v>
      </c>
      <c r="H843" t="s">
        <v>71</v>
      </c>
      <c r="I843">
        <v>2316.5100000000002</v>
      </c>
      <c r="J843">
        <f>Tabela1[[#This Row],[Valor Total]]/Tabela1[[#This Row],[Quantidade]]</f>
        <v>330.93</v>
      </c>
      <c r="K843" t="str">
        <f>TEXT(Tabela1[[#This Row],[Data]],"aaaa-mm")</f>
        <v>2025-07</v>
      </c>
    </row>
    <row r="844" spans="1:11">
      <c r="A844" s="1">
        <v>45851</v>
      </c>
      <c r="B844" t="s">
        <v>72</v>
      </c>
      <c r="C844" t="s">
        <v>5</v>
      </c>
      <c r="D844" t="s">
        <v>66</v>
      </c>
      <c r="E844">
        <v>2</v>
      </c>
      <c r="F844">
        <v>248.05</v>
      </c>
      <c r="G844" t="s">
        <v>15</v>
      </c>
      <c r="H844" t="s">
        <v>67</v>
      </c>
      <c r="I844">
        <v>496.1</v>
      </c>
      <c r="J844">
        <f>Tabela1[[#This Row],[Valor Total]]/Tabela1[[#This Row],[Quantidade]]</f>
        <v>248.05</v>
      </c>
      <c r="K844" t="str">
        <f>TEXT(Tabela1[[#This Row],[Data]],"aaaa-mm")</f>
        <v>2025-07</v>
      </c>
    </row>
    <row r="845" spans="1:11">
      <c r="A845" s="1">
        <v>45852</v>
      </c>
      <c r="B845" t="s">
        <v>69</v>
      </c>
      <c r="C845" t="s">
        <v>4</v>
      </c>
      <c r="D845" t="s">
        <v>73</v>
      </c>
      <c r="E845">
        <v>3</v>
      </c>
      <c r="F845">
        <v>296.08999999999997</v>
      </c>
      <c r="G845" t="s">
        <v>13</v>
      </c>
      <c r="H845" t="s">
        <v>63</v>
      </c>
      <c r="I845">
        <v>888.27</v>
      </c>
      <c r="J845">
        <f>Tabela1[[#This Row],[Valor Total]]/Tabela1[[#This Row],[Quantidade]]</f>
        <v>296.08999999999997</v>
      </c>
      <c r="K845" t="str">
        <f>TEXT(Tabela1[[#This Row],[Data]],"aaaa-mm")</f>
        <v>2025-07</v>
      </c>
    </row>
    <row r="846" spans="1:11">
      <c r="A846" s="1">
        <v>45853</v>
      </c>
      <c r="B846" t="s">
        <v>74</v>
      </c>
      <c r="C846" t="s">
        <v>6</v>
      </c>
      <c r="D846" t="s">
        <v>65</v>
      </c>
      <c r="E846">
        <v>4</v>
      </c>
      <c r="F846">
        <v>411.79</v>
      </c>
      <c r="G846" t="s">
        <v>14</v>
      </c>
      <c r="H846" t="s">
        <v>64</v>
      </c>
      <c r="I846">
        <v>1647.16</v>
      </c>
      <c r="J846">
        <f>Tabela1[[#This Row],[Valor Total]]/Tabela1[[#This Row],[Quantidade]]</f>
        <v>411.79</v>
      </c>
      <c r="K846" t="str">
        <f>TEXT(Tabela1[[#This Row],[Data]],"aaaa-mm")</f>
        <v>2025-07</v>
      </c>
    </row>
    <row r="847" spans="1:11">
      <c r="A847" s="1">
        <v>45854</v>
      </c>
      <c r="B847" t="s">
        <v>68</v>
      </c>
      <c r="C847" t="s">
        <v>8</v>
      </c>
      <c r="D847" t="s">
        <v>70</v>
      </c>
      <c r="E847">
        <v>6</v>
      </c>
      <c r="F847">
        <v>39.36</v>
      </c>
      <c r="G847" t="s">
        <v>11</v>
      </c>
      <c r="H847" t="s">
        <v>67</v>
      </c>
      <c r="I847">
        <v>236.16</v>
      </c>
      <c r="J847">
        <f>Tabela1[[#This Row],[Valor Total]]/Tabela1[[#This Row],[Quantidade]]</f>
        <v>39.36</v>
      </c>
      <c r="K847" t="str">
        <f>TEXT(Tabela1[[#This Row],[Data]],"aaaa-mm")</f>
        <v>2025-07</v>
      </c>
    </row>
    <row r="848" spans="1:11">
      <c r="A848" s="1">
        <v>45855</v>
      </c>
      <c r="B848" t="s">
        <v>72</v>
      </c>
      <c r="C848" t="s">
        <v>7</v>
      </c>
      <c r="D848" t="s">
        <v>62</v>
      </c>
      <c r="E848">
        <v>2</v>
      </c>
      <c r="F848">
        <v>334.91</v>
      </c>
      <c r="G848" t="s">
        <v>13</v>
      </c>
      <c r="H848" t="s">
        <v>63</v>
      </c>
      <c r="I848">
        <v>669.82</v>
      </c>
      <c r="J848">
        <f>Tabela1[[#This Row],[Valor Total]]/Tabela1[[#This Row],[Quantidade]]</f>
        <v>334.91</v>
      </c>
      <c r="K848" t="str">
        <f>TEXT(Tabela1[[#This Row],[Data]],"aaaa-mm")</f>
        <v>2025-07</v>
      </c>
    </row>
    <row r="849" spans="1:11">
      <c r="A849" s="1">
        <v>45856</v>
      </c>
      <c r="B849" t="s">
        <v>69</v>
      </c>
      <c r="C849" t="s">
        <v>8</v>
      </c>
      <c r="D849" t="s">
        <v>62</v>
      </c>
      <c r="E849">
        <v>9</v>
      </c>
      <c r="F849">
        <v>351.46</v>
      </c>
      <c r="G849" t="s">
        <v>12</v>
      </c>
      <c r="H849" t="s">
        <v>64</v>
      </c>
      <c r="I849">
        <v>3163.14</v>
      </c>
      <c r="J849">
        <f>Tabela1[[#This Row],[Valor Total]]/Tabela1[[#This Row],[Quantidade]]</f>
        <v>351.46</v>
      </c>
      <c r="K849" t="str">
        <f>TEXT(Tabela1[[#This Row],[Data]],"aaaa-mm")</f>
        <v>2025-07</v>
      </c>
    </row>
    <row r="850" spans="1:11">
      <c r="A850" s="1">
        <v>45857</v>
      </c>
      <c r="B850" t="s">
        <v>61</v>
      </c>
      <c r="C850" t="s">
        <v>6</v>
      </c>
      <c r="D850" t="s">
        <v>62</v>
      </c>
      <c r="E850">
        <v>8</v>
      </c>
      <c r="F850">
        <v>108.57</v>
      </c>
      <c r="G850" t="s">
        <v>14</v>
      </c>
      <c r="H850" t="s">
        <v>67</v>
      </c>
      <c r="I850">
        <v>868.56</v>
      </c>
      <c r="J850">
        <f>Tabela1[[#This Row],[Valor Total]]/Tabela1[[#This Row],[Quantidade]]</f>
        <v>108.57</v>
      </c>
      <c r="K850" t="str">
        <f>TEXT(Tabela1[[#This Row],[Data]],"aaaa-mm")</f>
        <v>2025-07</v>
      </c>
    </row>
    <row r="851" spans="1:11">
      <c r="A851" s="1">
        <v>45858</v>
      </c>
      <c r="B851" t="s">
        <v>68</v>
      </c>
      <c r="C851" t="s">
        <v>4</v>
      </c>
      <c r="D851" t="s">
        <v>66</v>
      </c>
      <c r="E851">
        <v>8</v>
      </c>
      <c r="F851">
        <v>477.49</v>
      </c>
      <c r="G851" t="s">
        <v>13</v>
      </c>
      <c r="H851" t="s">
        <v>63</v>
      </c>
      <c r="I851">
        <v>3819.92</v>
      </c>
      <c r="J851">
        <f>Tabela1[[#This Row],[Valor Total]]/Tabela1[[#This Row],[Quantidade]]</f>
        <v>477.49</v>
      </c>
      <c r="K851" t="str">
        <f>TEXT(Tabela1[[#This Row],[Data]],"aaaa-mm")</f>
        <v>2025-07</v>
      </c>
    </row>
    <row r="852" spans="1:11">
      <c r="A852" s="1">
        <v>45859</v>
      </c>
      <c r="B852" t="s">
        <v>69</v>
      </c>
      <c r="C852" t="s">
        <v>7</v>
      </c>
      <c r="D852" t="s">
        <v>65</v>
      </c>
      <c r="E852">
        <v>3</v>
      </c>
      <c r="F852">
        <v>386.01</v>
      </c>
      <c r="G852" t="s">
        <v>12</v>
      </c>
      <c r="H852" t="s">
        <v>71</v>
      </c>
      <c r="I852">
        <v>1158.03</v>
      </c>
      <c r="J852">
        <f>Tabela1[[#This Row],[Valor Total]]/Tabela1[[#This Row],[Quantidade]]</f>
        <v>386.01</v>
      </c>
      <c r="K852" t="str">
        <f>TEXT(Tabela1[[#This Row],[Data]],"aaaa-mm")</f>
        <v>2025-07</v>
      </c>
    </row>
    <row r="853" spans="1:11">
      <c r="A853" s="1">
        <v>45860</v>
      </c>
      <c r="B853" t="s">
        <v>72</v>
      </c>
      <c r="C853" t="s">
        <v>8</v>
      </c>
      <c r="D853" t="s">
        <v>66</v>
      </c>
      <c r="E853">
        <v>6</v>
      </c>
      <c r="F853">
        <v>156.15</v>
      </c>
      <c r="G853" t="s">
        <v>12</v>
      </c>
      <c r="H853" t="s">
        <v>67</v>
      </c>
      <c r="I853">
        <v>936.90000000000009</v>
      </c>
      <c r="J853">
        <f>Tabela1[[#This Row],[Valor Total]]/Tabela1[[#This Row],[Quantidade]]</f>
        <v>156.15</v>
      </c>
      <c r="K853" t="str">
        <f>TEXT(Tabela1[[#This Row],[Data]],"aaaa-mm")</f>
        <v>2025-07</v>
      </c>
    </row>
    <row r="854" spans="1:11">
      <c r="A854" s="1">
        <v>45861</v>
      </c>
      <c r="B854" t="s">
        <v>72</v>
      </c>
      <c r="C854" t="s">
        <v>7</v>
      </c>
      <c r="D854" t="s">
        <v>70</v>
      </c>
      <c r="E854">
        <v>1</v>
      </c>
      <c r="F854">
        <v>162.19</v>
      </c>
      <c r="G854" t="s">
        <v>12</v>
      </c>
      <c r="H854" t="s">
        <v>64</v>
      </c>
      <c r="I854">
        <v>162.19</v>
      </c>
      <c r="J854">
        <f>Tabela1[[#This Row],[Valor Total]]/Tabela1[[#This Row],[Quantidade]]</f>
        <v>162.19</v>
      </c>
      <c r="K854" t="str">
        <f>TEXT(Tabela1[[#This Row],[Data]],"aaaa-mm")</f>
        <v>2025-07</v>
      </c>
    </row>
    <row r="855" spans="1:11">
      <c r="A855" s="1">
        <v>45863</v>
      </c>
      <c r="B855" t="s">
        <v>68</v>
      </c>
      <c r="C855" t="s">
        <v>5</v>
      </c>
      <c r="D855" t="s">
        <v>62</v>
      </c>
      <c r="E855">
        <v>7</v>
      </c>
      <c r="F855">
        <v>365.27</v>
      </c>
      <c r="G855" t="s">
        <v>15</v>
      </c>
      <c r="H855" t="s">
        <v>63</v>
      </c>
      <c r="I855">
        <v>2556.89</v>
      </c>
      <c r="J855">
        <f>Tabela1[[#This Row],[Valor Total]]/Tabela1[[#This Row],[Quantidade]]</f>
        <v>365.27</v>
      </c>
      <c r="K855" t="str">
        <f>TEXT(Tabela1[[#This Row],[Data]],"aaaa-mm")</f>
        <v>2025-07</v>
      </c>
    </row>
    <row r="856" spans="1:11">
      <c r="A856" s="1">
        <v>45864</v>
      </c>
      <c r="B856" t="s">
        <v>69</v>
      </c>
      <c r="C856" t="s">
        <v>6</v>
      </c>
      <c r="D856" t="s">
        <v>70</v>
      </c>
      <c r="E856">
        <v>5</v>
      </c>
      <c r="F856">
        <v>164.28</v>
      </c>
      <c r="G856" t="s">
        <v>12</v>
      </c>
      <c r="H856" t="s">
        <v>63</v>
      </c>
      <c r="I856">
        <v>821.4</v>
      </c>
      <c r="J856">
        <f>Tabela1[[#This Row],[Valor Total]]/Tabela1[[#This Row],[Quantidade]]</f>
        <v>164.28</v>
      </c>
      <c r="K856" t="str">
        <f>TEXT(Tabela1[[#This Row],[Data]],"aaaa-mm")</f>
        <v>2025-07</v>
      </c>
    </row>
    <row r="857" spans="1:11">
      <c r="A857" s="1">
        <v>45865</v>
      </c>
      <c r="B857" t="s">
        <v>69</v>
      </c>
      <c r="C857" t="s">
        <v>4</v>
      </c>
      <c r="D857" t="s">
        <v>66</v>
      </c>
      <c r="E857">
        <v>5</v>
      </c>
      <c r="F857">
        <v>201.79</v>
      </c>
      <c r="G857" t="s">
        <v>14</v>
      </c>
      <c r="H857" t="s">
        <v>67</v>
      </c>
      <c r="I857">
        <v>1008.95</v>
      </c>
      <c r="J857">
        <f>Tabela1[[#This Row],[Valor Total]]/Tabela1[[#This Row],[Quantidade]]</f>
        <v>201.79000000000002</v>
      </c>
      <c r="K857" t="str">
        <f>TEXT(Tabela1[[#This Row],[Data]],"aaaa-mm")</f>
        <v>2025-07</v>
      </c>
    </row>
    <row r="858" spans="1:11">
      <c r="A858" s="1">
        <v>45866</v>
      </c>
      <c r="B858" t="s">
        <v>72</v>
      </c>
      <c r="C858" t="s">
        <v>8</v>
      </c>
      <c r="D858" t="s">
        <v>65</v>
      </c>
      <c r="E858">
        <v>1</v>
      </c>
      <c r="F858">
        <v>102.9</v>
      </c>
      <c r="G858" t="s">
        <v>13</v>
      </c>
      <c r="H858" t="s">
        <v>63</v>
      </c>
      <c r="I858">
        <v>102.9</v>
      </c>
      <c r="J858">
        <f>Tabela1[[#This Row],[Valor Total]]/Tabela1[[#This Row],[Quantidade]]</f>
        <v>102.9</v>
      </c>
      <c r="K858" t="str">
        <f>TEXT(Tabela1[[#This Row],[Data]],"aaaa-mm")</f>
        <v>2025-07</v>
      </c>
    </row>
    <row r="859" spans="1:11">
      <c r="A859" s="1">
        <v>45867</v>
      </c>
      <c r="B859" t="s">
        <v>69</v>
      </c>
      <c r="C859" t="s">
        <v>5</v>
      </c>
      <c r="D859" t="s">
        <v>66</v>
      </c>
      <c r="E859">
        <v>1</v>
      </c>
      <c r="F859">
        <v>302.95</v>
      </c>
      <c r="G859" t="s">
        <v>12</v>
      </c>
      <c r="H859" t="s">
        <v>63</v>
      </c>
      <c r="I859">
        <v>302.95</v>
      </c>
      <c r="J859">
        <f>Tabela1[[#This Row],[Valor Total]]/Tabela1[[#This Row],[Quantidade]]</f>
        <v>302.95</v>
      </c>
      <c r="K859" t="str">
        <f>TEXT(Tabela1[[#This Row],[Data]],"aaaa-mm")</f>
        <v>2025-07</v>
      </c>
    </row>
    <row r="860" spans="1:11">
      <c r="A860" s="1">
        <v>45868</v>
      </c>
      <c r="B860" t="s">
        <v>69</v>
      </c>
      <c r="C860" t="s">
        <v>4</v>
      </c>
      <c r="D860" t="s">
        <v>62</v>
      </c>
      <c r="E860">
        <v>8</v>
      </c>
      <c r="F860">
        <v>357.67</v>
      </c>
      <c r="G860" t="s">
        <v>13</v>
      </c>
      <c r="H860" t="s">
        <v>63</v>
      </c>
      <c r="I860">
        <v>2861.36</v>
      </c>
      <c r="J860">
        <f>Tabela1[[#This Row],[Valor Total]]/Tabela1[[#This Row],[Quantidade]]</f>
        <v>357.67</v>
      </c>
      <c r="K860" t="str">
        <f>TEXT(Tabela1[[#This Row],[Data]],"aaaa-mm")</f>
        <v>2025-07</v>
      </c>
    </row>
    <row r="861" spans="1:11">
      <c r="A861" s="1">
        <v>45869</v>
      </c>
      <c r="B861" t="s">
        <v>72</v>
      </c>
      <c r="C861" t="s">
        <v>4</v>
      </c>
      <c r="D861" t="s">
        <v>73</v>
      </c>
      <c r="E861">
        <v>7</v>
      </c>
      <c r="F861">
        <v>266.7</v>
      </c>
      <c r="G861" t="s">
        <v>11</v>
      </c>
      <c r="H861" t="s">
        <v>67</v>
      </c>
      <c r="I861">
        <v>1866.9</v>
      </c>
      <c r="J861">
        <f>Tabela1[[#This Row],[Valor Total]]/Tabela1[[#This Row],[Quantidade]]</f>
        <v>266.7</v>
      </c>
      <c r="K861" t="str">
        <f>TEXT(Tabela1[[#This Row],[Data]],"aaaa-mm")</f>
        <v>2025-07</v>
      </c>
    </row>
    <row r="862" spans="1:11">
      <c r="A862" s="1">
        <v>45870</v>
      </c>
      <c r="B862" t="s">
        <v>69</v>
      </c>
      <c r="C862" t="s">
        <v>6</v>
      </c>
      <c r="D862" t="s">
        <v>65</v>
      </c>
      <c r="E862">
        <v>7</v>
      </c>
      <c r="F862">
        <v>285.95</v>
      </c>
      <c r="G862" t="s">
        <v>13</v>
      </c>
      <c r="H862" t="s">
        <v>71</v>
      </c>
      <c r="I862">
        <v>2001.65</v>
      </c>
      <c r="J862">
        <f>Tabela1[[#This Row],[Valor Total]]/Tabela1[[#This Row],[Quantidade]]</f>
        <v>285.95</v>
      </c>
      <c r="K862" t="str">
        <f>TEXT(Tabela1[[#This Row],[Data]],"aaaa-mm")</f>
        <v>2025-08</v>
      </c>
    </row>
    <row r="863" spans="1:11">
      <c r="A863" s="1">
        <v>45871</v>
      </c>
      <c r="B863" t="s">
        <v>69</v>
      </c>
      <c r="C863" t="s">
        <v>4</v>
      </c>
      <c r="D863" t="s">
        <v>73</v>
      </c>
      <c r="E863">
        <v>9</v>
      </c>
      <c r="F863">
        <v>371.38</v>
      </c>
      <c r="G863" t="s">
        <v>11</v>
      </c>
      <c r="H863" t="s">
        <v>67</v>
      </c>
      <c r="I863">
        <v>3342.42</v>
      </c>
      <c r="J863">
        <f>Tabela1[[#This Row],[Valor Total]]/Tabela1[[#This Row],[Quantidade]]</f>
        <v>371.38</v>
      </c>
      <c r="K863" t="str">
        <f>TEXT(Tabela1[[#This Row],[Data]],"aaaa-mm")</f>
        <v>2025-08</v>
      </c>
    </row>
    <row r="864" spans="1:11">
      <c r="A864" s="1">
        <v>45872</v>
      </c>
      <c r="B864" t="s">
        <v>69</v>
      </c>
      <c r="C864" t="s">
        <v>5</v>
      </c>
      <c r="D864" t="s">
        <v>73</v>
      </c>
      <c r="E864">
        <v>7</v>
      </c>
      <c r="F864">
        <v>73.709999999999994</v>
      </c>
      <c r="G864" t="s">
        <v>15</v>
      </c>
      <c r="H864" t="s">
        <v>67</v>
      </c>
      <c r="I864">
        <v>515.96999999999991</v>
      </c>
      <c r="J864">
        <f>Tabela1[[#This Row],[Valor Total]]/Tabela1[[#This Row],[Quantidade]]</f>
        <v>73.709999999999994</v>
      </c>
      <c r="K864" t="str">
        <f>TEXT(Tabela1[[#This Row],[Data]],"aaaa-mm")</f>
        <v>2025-08</v>
      </c>
    </row>
    <row r="865" spans="1:11">
      <c r="A865" s="1">
        <v>45874</v>
      </c>
      <c r="B865" t="s">
        <v>74</v>
      </c>
      <c r="C865" t="s">
        <v>4</v>
      </c>
      <c r="D865" t="s">
        <v>70</v>
      </c>
      <c r="E865">
        <v>4</v>
      </c>
      <c r="F865">
        <v>121.19</v>
      </c>
      <c r="G865" t="s">
        <v>15</v>
      </c>
      <c r="H865" t="s">
        <v>63</v>
      </c>
      <c r="I865">
        <v>484.76</v>
      </c>
      <c r="J865">
        <f>Tabela1[[#This Row],[Valor Total]]/Tabela1[[#This Row],[Quantidade]]</f>
        <v>121.19</v>
      </c>
      <c r="K865" t="str">
        <f>TEXT(Tabela1[[#This Row],[Data]],"aaaa-mm")</f>
        <v>2025-08</v>
      </c>
    </row>
    <row r="866" spans="1:11">
      <c r="A866" s="1">
        <v>45875</v>
      </c>
      <c r="B866" t="s">
        <v>61</v>
      </c>
      <c r="C866" t="s">
        <v>6</v>
      </c>
      <c r="D866" t="s">
        <v>70</v>
      </c>
      <c r="E866">
        <v>4</v>
      </c>
      <c r="F866">
        <v>306.23</v>
      </c>
      <c r="G866" t="s">
        <v>12</v>
      </c>
      <c r="H866" t="s">
        <v>67</v>
      </c>
      <c r="I866">
        <v>1224.92</v>
      </c>
      <c r="J866">
        <f>Tabela1[[#This Row],[Valor Total]]/Tabela1[[#This Row],[Quantidade]]</f>
        <v>306.23</v>
      </c>
      <c r="K866" t="str">
        <f>TEXT(Tabela1[[#This Row],[Data]],"aaaa-mm")</f>
        <v>2025-08</v>
      </c>
    </row>
    <row r="867" spans="1:11">
      <c r="A867" s="1">
        <v>45876</v>
      </c>
      <c r="B867" t="s">
        <v>61</v>
      </c>
      <c r="C867" t="s">
        <v>8</v>
      </c>
      <c r="D867" t="s">
        <v>70</v>
      </c>
      <c r="E867">
        <v>2</v>
      </c>
      <c r="F867">
        <v>308.70999999999998</v>
      </c>
      <c r="G867" t="s">
        <v>15</v>
      </c>
      <c r="H867" t="s">
        <v>63</v>
      </c>
      <c r="I867">
        <v>617.41999999999996</v>
      </c>
      <c r="J867">
        <f>Tabela1[[#This Row],[Valor Total]]/Tabela1[[#This Row],[Quantidade]]</f>
        <v>308.70999999999998</v>
      </c>
      <c r="K867" t="str">
        <f>TEXT(Tabela1[[#This Row],[Data]],"aaaa-mm")</f>
        <v>2025-08</v>
      </c>
    </row>
    <row r="868" spans="1:11">
      <c r="A868" s="1">
        <v>45877</v>
      </c>
      <c r="B868" t="s">
        <v>74</v>
      </c>
      <c r="C868" t="s">
        <v>6</v>
      </c>
      <c r="D868" t="s">
        <v>66</v>
      </c>
      <c r="E868">
        <v>8</v>
      </c>
      <c r="F868">
        <v>465.33</v>
      </c>
      <c r="G868" t="s">
        <v>15</v>
      </c>
      <c r="H868" t="s">
        <v>63</v>
      </c>
      <c r="I868">
        <v>3722.64</v>
      </c>
      <c r="J868">
        <f>Tabela1[[#This Row],[Valor Total]]/Tabela1[[#This Row],[Quantidade]]</f>
        <v>465.33</v>
      </c>
      <c r="K868" t="str">
        <f>TEXT(Tabela1[[#This Row],[Data]],"aaaa-mm")</f>
        <v>2025-08</v>
      </c>
    </row>
    <row r="869" spans="1:11">
      <c r="A869" s="1">
        <v>45878</v>
      </c>
      <c r="B869" t="s">
        <v>68</v>
      </c>
      <c r="C869" t="s">
        <v>4</v>
      </c>
      <c r="D869" t="s">
        <v>73</v>
      </c>
      <c r="E869">
        <v>8</v>
      </c>
      <c r="F869">
        <v>260.52</v>
      </c>
      <c r="G869" t="s">
        <v>15</v>
      </c>
      <c r="H869" t="s">
        <v>63</v>
      </c>
      <c r="I869">
        <v>2084.16</v>
      </c>
      <c r="J869">
        <f>Tabela1[[#This Row],[Valor Total]]/Tabela1[[#This Row],[Quantidade]]</f>
        <v>260.52</v>
      </c>
      <c r="K869" t="str">
        <f>TEXT(Tabela1[[#This Row],[Data]],"aaaa-mm")</f>
        <v>2025-08</v>
      </c>
    </row>
    <row r="870" spans="1:11">
      <c r="A870" s="1">
        <v>45879</v>
      </c>
      <c r="B870" t="s">
        <v>74</v>
      </c>
      <c r="C870" t="s">
        <v>8</v>
      </c>
      <c r="D870" t="s">
        <v>66</v>
      </c>
      <c r="E870">
        <v>7</v>
      </c>
      <c r="F870">
        <v>97.45</v>
      </c>
      <c r="G870" t="s">
        <v>13</v>
      </c>
      <c r="H870" t="s">
        <v>67</v>
      </c>
      <c r="I870">
        <v>682.15</v>
      </c>
      <c r="J870">
        <f>Tabela1[[#This Row],[Valor Total]]/Tabela1[[#This Row],[Quantidade]]</f>
        <v>97.45</v>
      </c>
      <c r="K870" t="str">
        <f>TEXT(Tabela1[[#This Row],[Data]],"aaaa-mm")</f>
        <v>2025-08</v>
      </c>
    </row>
    <row r="871" spans="1:11">
      <c r="A871" s="1">
        <v>45880</v>
      </c>
      <c r="B871" t="s">
        <v>68</v>
      </c>
      <c r="C871" t="s">
        <v>5</v>
      </c>
      <c r="D871" t="s">
        <v>73</v>
      </c>
      <c r="E871">
        <v>9</v>
      </c>
      <c r="F871">
        <v>51.13</v>
      </c>
      <c r="G871" t="s">
        <v>13</v>
      </c>
      <c r="H871" t="s">
        <v>64</v>
      </c>
      <c r="I871">
        <v>460.17</v>
      </c>
      <c r="J871">
        <f>Tabela1[[#This Row],[Valor Total]]/Tabela1[[#This Row],[Quantidade]]</f>
        <v>51.13</v>
      </c>
      <c r="K871" t="str">
        <f>TEXT(Tabela1[[#This Row],[Data]],"aaaa-mm")</f>
        <v>2025-08</v>
      </c>
    </row>
    <row r="872" spans="1:11">
      <c r="A872" s="1">
        <v>45881</v>
      </c>
      <c r="B872" t="s">
        <v>72</v>
      </c>
      <c r="C872" t="s">
        <v>4</v>
      </c>
      <c r="D872" t="s">
        <v>73</v>
      </c>
      <c r="E872">
        <v>6</v>
      </c>
      <c r="F872">
        <v>277.39999999999998</v>
      </c>
      <c r="G872" t="s">
        <v>12</v>
      </c>
      <c r="H872" t="s">
        <v>64</v>
      </c>
      <c r="I872">
        <v>1664.4</v>
      </c>
      <c r="J872">
        <f>Tabela1[[#This Row],[Valor Total]]/Tabela1[[#This Row],[Quantidade]]</f>
        <v>277.40000000000003</v>
      </c>
      <c r="K872" t="str">
        <f>TEXT(Tabela1[[#This Row],[Data]],"aaaa-mm")</f>
        <v>2025-08</v>
      </c>
    </row>
    <row r="873" spans="1:11">
      <c r="A873" s="1">
        <v>45882</v>
      </c>
      <c r="B873" t="s">
        <v>61</v>
      </c>
      <c r="C873" t="s">
        <v>6</v>
      </c>
      <c r="D873" t="s">
        <v>65</v>
      </c>
      <c r="E873">
        <v>8</v>
      </c>
      <c r="F873">
        <v>477.92</v>
      </c>
      <c r="G873" t="s">
        <v>13</v>
      </c>
      <c r="H873" t="s">
        <v>67</v>
      </c>
      <c r="I873">
        <v>3823.36</v>
      </c>
      <c r="J873">
        <f>Tabela1[[#This Row],[Valor Total]]/Tabela1[[#This Row],[Quantidade]]</f>
        <v>477.92</v>
      </c>
      <c r="K873" t="str">
        <f>TEXT(Tabela1[[#This Row],[Data]],"aaaa-mm")</f>
        <v>2025-08</v>
      </c>
    </row>
    <row r="874" spans="1:11">
      <c r="A874" s="1">
        <v>45883</v>
      </c>
      <c r="B874" t="s">
        <v>69</v>
      </c>
      <c r="C874" t="s">
        <v>8</v>
      </c>
      <c r="D874" t="s">
        <v>73</v>
      </c>
      <c r="E874">
        <v>4</v>
      </c>
      <c r="F874">
        <v>162.9</v>
      </c>
      <c r="G874" t="s">
        <v>15</v>
      </c>
      <c r="H874" t="s">
        <v>63</v>
      </c>
      <c r="I874">
        <v>651.6</v>
      </c>
      <c r="J874">
        <f>Tabela1[[#This Row],[Valor Total]]/Tabela1[[#This Row],[Quantidade]]</f>
        <v>162.9</v>
      </c>
      <c r="K874" t="str">
        <f>TEXT(Tabela1[[#This Row],[Data]],"aaaa-mm")</f>
        <v>2025-08</v>
      </c>
    </row>
    <row r="875" spans="1:11">
      <c r="A875" s="1">
        <v>45884</v>
      </c>
      <c r="B875" t="s">
        <v>61</v>
      </c>
      <c r="C875" t="s">
        <v>8</v>
      </c>
      <c r="D875" t="s">
        <v>73</v>
      </c>
      <c r="E875">
        <v>7</v>
      </c>
      <c r="F875">
        <v>406.92</v>
      </c>
      <c r="G875" t="s">
        <v>13</v>
      </c>
      <c r="H875" t="s">
        <v>63</v>
      </c>
      <c r="I875">
        <v>2848.44</v>
      </c>
      <c r="J875">
        <f>Tabela1[[#This Row],[Valor Total]]/Tabela1[[#This Row],[Quantidade]]</f>
        <v>406.92</v>
      </c>
      <c r="K875" t="str">
        <f>TEXT(Tabela1[[#This Row],[Data]],"aaaa-mm")</f>
        <v>2025-08</v>
      </c>
    </row>
    <row r="876" spans="1:11">
      <c r="A876" s="1">
        <v>45886</v>
      </c>
      <c r="B876" t="s">
        <v>72</v>
      </c>
      <c r="C876" t="s">
        <v>7</v>
      </c>
      <c r="D876" t="s">
        <v>73</v>
      </c>
      <c r="E876">
        <v>6</v>
      </c>
      <c r="F876">
        <v>104.05</v>
      </c>
      <c r="G876" t="s">
        <v>11</v>
      </c>
      <c r="H876" t="s">
        <v>63</v>
      </c>
      <c r="I876">
        <v>624.29999999999995</v>
      </c>
      <c r="J876">
        <f>Tabela1[[#This Row],[Valor Total]]/Tabela1[[#This Row],[Quantidade]]</f>
        <v>104.05</v>
      </c>
      <c r="K876" t="str">
        <f>TEXT(Tabela1[[#This Row],[Data]],"aaaa-mm")</f>
        <v>2025-08</v>
      </c>
    </row>
    <row r="877" spans="1:11">
      <c r="A877" s="1">
        <v>45887</v>
      </c>
      <c r="B877" t="s">
        <v>74</v>
      </c>
      <c r="C877" t="s">
        <v>6</v>
      </c>
      <c r="D877" t="s">
        <v>73</v>
      </c>
      <c r="E877">
        <v>4</v>
      </c>
      <c r="F877">
        <v>456.2</v>
      </c>
      <c r="G877" t="s">
        <v>13</v>
      </c>
      <c r="H877" t="s">
        <v>63</v>
      </c>
      <c r="I877">
        <v>1824.8</v>
      </c>
      <c r="J877">
        <f>Tabela1[[#This Row],[Valor Total]]/Tabela1[[#This Row],[Quantidade]]</f>
        <v>456.2</v>
      </c>
      <c r="K877" t="str">
        <f>TEXT(Tabela1[[#This Row],[Data]],"aaaa-mm")</f>
        <v>2025-08</v>
      </c>
    </row>
    <row r="878" spans="1:11">
      <c r="A878" s="1">
        <v>45888</v>
      </c>
      <c r="B878" t="s">
        <v>61</v>
      </c>
      <c r="C878" t="s">
        <v>5</v>
      </c>
      <c r="D878" t="s">
        <v>65</v>
      </c>
      <c r="E878">
        <v>5</v>
      </c>
      <c r="F878">
        <v>415.39</v>
      </c>
      <c r="G878" t="s">
        <v>13</v>
      </c>
      <c r="H878" t="s">
        <v>71</v>
      </c>
      <c r="I878">
        <v>2076.9499999999998</v>
      </c>
      <c r="J878">
        <f>Tabela1[[#This Row],[Valor Total]]/Tabela1[[#This Row],[Quantidade]]</f>
        <v>415.39</v>
      </c>
      <c r="K878" t="str">
        <f>TEXT(Tabela1[[#This Row],[Data]],"aaaa-mm")</f>
        <v>2025-08</v>
      </c>
    </row>
    <row r="879" spans="1:11">
      <c r="A879" s="1">
        <v>45889</v>
      </c>
      <c r="B879" t="s">
        <v>74</v>
      </c>
      <c r="C879" t="s">
        <v>4</v>
      </c>
      <c r="D879" t="s">
        <v>65</v>
      </c>
      <c r="E879">
        <v>2</v>
      </c>
      <c r="F879">
        <v>420.43</v>
      </c>
      <c r="G879" t="s">
        <v>14</v>
      </c>
      <c r="H879" t="s">
        <v>71</v>
      </c>
      <c r="I879">
        <v>840.86</v>
      </c>
      <c r="J879">
        <f>Tabela1[[#This Row],[Valor Total]]/Tabela1[[#This Row],[Quantidade]]</f>
        <v>420.43</v>
      </c>
      <c r="K879" t="str">
        <f>TEXT(Tabela1[[#This Row],[Data]],"aaaa-mm")</f>
        <v>2025-08</v>
      </c>
    </row>
    <row r="880" spans="1:11">
      <c r="A880" s="1">
        <v>45890</v>
      </c>
      <c r="B880" t="s">
        <v>61</v>
      </c>
      <c r="C880" t="s">
        <v>7</v>
      </c>
      <c r="D880" t="s">
        <v>65</v>
      </c>
      <c r="E880">
        <v>1</v>
      </c>
      <c r="F880">
        <v>74.19</v>
      </c>
      <c r="G880" t="s">
        <v>14</v>
      </c>
      <c r="H880" t="s">
        <v>67</v>
      </c>
      <c r="I880">
        <v>74.19</v>
      </c>
      <c r="J880">
        <f>Tabela1[[#This Row],[Valor Total]]/Tabela1[[#This Row],[Quantidade]]</f>
        <v>74.19</v>
      </c>
      <c r="K880" t="str">
        <f>TEXT(Tabela1[[#This Row],[Data]],"aaaa-mm")</f>
        <v>2025-08</v>
      </c>
    </row>
    <row r="881" spans="1:11">
      <c r="A881" s="1">
        <v>45891</v>
      </c>
      <c r="B881" t="s">
        <v>69</v>
      </c>
      <c r="C881" t="s">
        <v>6</v>
      </c>
      <c r="D881" t="s">
        <v>73</v>
      </c>
      <c r="E881">
        <v>1</v>
      </c>
      <c r="F881">
        <v>189.34</v>
      </c>
      <c r="G881" t="s">
        <v>11</v>
      </c>
      <c r="H881" t="s">
        <v>67</v>
      </c>
      <c r="I881">
        <v>189.34</v>
      </c>
      <c r="J881">
        <f>Tabela1[[#This Row],[Valor Total]]/Tabela1[[#This Row],[Quantidade]]</f>
        <v>189.34</v>
      </c>
      <c r="K881" t="str">
        <f>TEXT(Tabela1[[#This Row],[Data]],"aaaa-mm")</f>
        <v>2025-08</v>
      </c>
    </row>
    <row r="882" spans="1:11">
      <c r="A882" s="1">
        <v>45892</v>
      </c>
      <c r="B882" t="s">
        <v>72</v>
      </c>
      <c r="C882" t="s">
        <v>4</v>
      </c>
      <c r="D882" t="s">
        <v>65</v>
      </c>
      <c r="E882">
        <v>6</v>
      </c>
      <c r="F882">
        <v>150.44999999999999</v>
      </c>
      <c r="G882" t="s">
        <v>15</v>
      </c>
      <c r="H882" t="s">
        <v>64</v>
      </c>
      <c r="I882">
        <v>902.69999999999993</v>
      </c>
      <c r="J882">
        <f>Tabela1[[#This Row],[Valor Total]]/Tabela1[[#This Row],[Quantidade]]</f>
        <v>150.44999999999999</v>
      </c>
      <c r="K882" t="str">
        <f>TEXT(Tabela1[[#This Row],[Data]],"aaaa-mm")</f>
        <v>2025-08</v>
      </c>
    </row>
    <row r="883" spans="1:11">
      <c r="A883" s="1">
        <v>45893</v>
      </c>
      <c r="B883" t="s">
        <v>72</v>
      </c>
      <c r="C883" t="s">
        <v>8</v>
      </c>
      <c r="D883" t="s">
        <v>66</v>
      </c>
      <c r="E883">
        <v>8</v>
      </c>
      <c r="F883">
        <v>266.06</v>
      </c>
      <c r="G883" t="s">
        <v>15</v>
      </c>
      <c r="H883" t="s">
        <v>64</v>
      </c>
      <c r="I883">
        <v>2128.48</v>
      </c>
      <c r="J883">
        <f>Tabela1[[#This Row],[Valor Total]]/Tabela1[[#This Row],[Quantidade]]</f>
        <v>266.06</v>
      </c>
      <c r="K883" t="str">
        <f>TEXT(Tabela1[[#This Row],[Data]],"aaaa-mm")</f>
        <v>2025-08</v>
      </c>
    </row>
    <row r="884" spans="1:11">
      <c r="A884" s="1">
        <v>45894</v>
      </c>
      <c r="B884" t="s">
        <v>74</v>
      </c>
      <c r="C884" t="s">
        <v>4</v>
      </c>
      <c r="D884" t="s">
        <v>66</v>
      </c>
      <c r="E884">
        <v>8</v>
      </c>
      <c r="F884">
        <v>189.41</v>
      </c>
      <c r="G884" t="s">
        <v>12</v>
      </c>
      <c r="H884" t="s">
        <v>64</v>
      </c>
      <c r="I884">
        <v>1515.28</v>
      </c>
      <c r="J884">
        <f>Tabela1[[#This Row],[Valor Total]]/Tabela1[[#This Row],[Quantidade]]</f>
        <v>189.41</v>
      </c>
      <c r="K884" t="str">
        <f>TEXT(Tabela1[[#This Row],[Data]],"aaaa-mm")</f>
        <v>2025-08</v>
      </c>
    </row>
    <row r="885" spans="1:11">
      <c r="A885" s="1">
        <v>45895</v>
      </c>
      <c r="B885" t="s">
        <v>72</v>
      </c>
      <c r="C885" t="s">
        <v>7</v>
      </c>
      <c r="D885" t="s">
        <v>62</v>
      </c>
      <c r="E885">
        <v>3</v>
      </c>
      <c r="F885">
        <v>429.05</v>
      </c>
      <c r="G885" t="s">
        <v>15</v>
      </c>
      <c r="H885" t="s">
        <v>64</v>
      </c>
      <c r="I885">
        <v>1287.1500000000001</v>
      </c>
      <c r="J885">
        <f>Tabela1[[#This Row],[Valor Total]]/Tabela1[[#This Row],[Quantidade]]</f>
        <v>429.05</v>
      </c>
      <c r="K885" t="str">
        <f>TEXT(Tabela1[[#This Row],[Data]],"aaaa-mm")</f>
        <v>2025-08</v>
      </c>
    </row>
    <row r="886" spans="1:11">
      <c r="A886" s="1">
        <v>45897</v>
      </c>
      <c r="B886" t="s">
        <v>72</v>
      </c>
      <c r="C886" t="s">
        <v>6</v>
      </c>
      <c r="D886" t="s">
        <v>65</v>
      </c>
      <c r="E886">
        <v>7</v>
      </c>
      <c r="F886">
        <v>221.13</v>
      </c>
      <c r="G886" t="s">
        <v>14</v>
      </c>
      <c r="H886" t="s">
        <v>64</v>
      </c>
      <c r="I886">
        <v>1547.91</v>
      </c>
      <c r="J886">
        <f>Tabela1[[#This Row],[Valor Total]]/Tabela1[[#This Row],[Quantidade]]</f>
        <v>221.13000000000002</v>
      </c>
      <c r="K886" t="str">
        <f>TEXT(Tabela1[[#This Row],[Data]],"aaaa-mm")</f>
        <v>2025-08</v>
      </c>
    </row>
    <row r="887" spans="1:11">
      <c r="A887" s="1">
        <v>45898</v>
      </c>
      <c r="B887" t="s">
        <v>68</v>
      </c>
      <c r="C887" t="s">
        <v>7</v>
      </c>
      <c r="D887" t="s">
        <v>70</v>
      </c>
      <c r="E887">
        <v>7</v>
      </c>
      <c r="F887">
        <v>343.94</v>
      </c>
      <c r="G887" t="s">
        <v>14</v>
      </c>
      <c r="H887" t="s">
        <v>63</v>
      </c>
      <c r="I887">
        <v>2407.58</v>
      </c>
      <c r="J887">
        <f>Tabela1[[#This Row],[Valor Total]]/Tabela1[[#This Row],[Quantidade]]</f>
        <v>343.94</v>
      </c>
      <c r="K887" t="str">
        <f>TEXT(Tabela1[[#This Row],[Data]],"aaaa-mm")</f>
        <v>2025-08</v>
      </c>
    </row>
    <row r="888" spans="1:11">
      <c r="A888" s="1">
        <v>45899</v>
      </c>
      <c r="B888" t="s">
        <v>61</v>
      </c>
      <c r="C888" t="s">
        <v>6</v>
      </c>
      <c r="D888" t="s">
        <v>73</v>
      </c>
      <c r="E888">
        <v>5</v>
      </c>
      <c r="F888">
        <v>270.08</v>
      </c>
      <c r="G888" t="s">
        <v>15</v>
      </c>
      <c r="H888" t="s">
        <v>63</v>
      </c>
      <c r="I888">
        <v>1350.4</v>
      </c>
      <c r="J888">
        <f>Tabela1[[#This Row],[Valor Total]]/Tabela1[[#This Row],[Quantidade]]</f>
        <v>270.08000000000004</v>
      </c>
      <c r="K888" t="str">
        <f>TEXT(Tabela1[[#This Row],[Data]],"aaaa-mm")</f>
        <v>2025-08</v>
      </c>
    </row>
    <row r="889" spans="1:11">
      <c r="A889" s="1">
        <v>45900</v>
      </c>
      <c r="B889" t="s">
        <v>74</v>
      </c>
      <c r="C889" t="s">
        <v>4</v>
      </c>
      <c r="D889" t="s">
        <v>70</v>
      </c>
      <c r="E889">
        <v>9</v>
      </c>
      <c r="F889">
        <v>297.33</v>
      </c>
      <c r="G889" t="s">
        <v>11</v>
      </c>
      <c r="H889" t="s">
        <v>64</v>
      </c>
      <c r="I889">
        <v>2675.97</v>
      </c>
      <c r="J889">
        <f>Tabela1[[#This Row],[Valor Total]]/Tabela1[[#This Row],[Quantidade]]</f>
        <v>297.33</v>
      </c>
      <c r="K889" t="str">
        <f>TEXT(Tabela1[[#This Row],[Data]],"aaaa-mm")</f>
        <v>2025-08</v>
      </c>
    </row>
    <row r="890" spans="1:11">
      <c r="A890" s="1">
        <v>45901</v>
      </c>
      <c r="B890" t="s">
        <v>74</v>
      </c>
      <c r="C890" t="s">
        <v>8</v>
      </c>
      <c r="D890" t="s">
        <v>65</v>
      </c>
      <c r="E890">
        <v>1</v>
      </c>
      <c r="F890">
        <v>249.01</v>
      </c>
      <c r="G890" t="s">
        <v>13</v>
      </c>
      <c r="H890" t="s">
        <v>67</v>
      </c>
      <c r="I890">
        <v>249.01</v>
      </c>
      <c r="J890">
        <f>Tabela1[[#This Row],[Valor Total]]/Tabela1[[#This Row],[Quantidade]]</f>
        <v>249.01</v>
      </c>
      <c r="K890" t="str">
        <f>TEXT(Tabela1[[#This Row],[Data]],"aaaa-mm")</f>
        <v>2025-09</v>
      </c>
    </row>
    <row r="891" spans="1:11">
      <c r="A891" s="1">
        <v>45902</v>
      </c>
      <c r="B891" t="s">
        <v>69</v>
      </c>
      <c r="C891" t="s">
        <v>4</v>
      </c>
      <c r="D891" t="s">
        <v>66</v>
      </c>
      <c r="E891">
        <v>4</v>
      </c>
      <c r="F891">
        <v>313.22000000000003</v>
      </c>
      <c r="G891" t="s">
        <v>14</v>
      </c>
      <c r="H891" t="s">
        <v>71</v>
      </c>
      <c r="I891">
        <v>1252.8800000000001</v>
      </c>
      <c r="J891">
        <f>Tabela1[[#This Row],[Valor Total]]/Tabela1[[#This Row],[Quantidade]]</f>
        <v>313.22000000000003</v>
      </c>
      <c r="K891" t="str">
        <f>TEXT(Tabela1[[#This Row],[Data]],"aaaa-mm")</f>
        <v>2025-09</v>
      </c>
    </row>
    <row r="892" spans="1:11">
      <c r="A892" s="1">
        <v>45903</v>
      </c>
      <c r="B892" t="s">
        <v>61</v>
      </c>
      <c r="C892" t="s">
        <v>8</v>
      </c>
      <c r="D892" t="s">
        <v>70</v>
      </c>
      <c r="E892">
        <v>7</v>
      </c>
      <c r="F892">
        <v>487.28</v>
      </c>
      <c r="G892" t="s">
        <v>12</v>
      </c>
      <c r="H892" t="s">
        <v>71</v>
      </c>
      <c r="I892">
        <v>3410.96</v>
      </c>
      <c r="J892">
        <f>Tabela1[[#This Row],[Valor Total]]/Tabela1[[#This Row],[Quantidade]]</f>
        <v>487.28000000000003</v>
      </c>
      <c r="K892" t="str">
        <f>TEXT(Tabela1[[#This Row],[Data]],"aaaa-mm")</f>
        <v>2025-09</v>
      </c>
    </row>
    <row r="893" spans="1:11">
      <c r="A893" s="1">
        <v>45904</v>
      </c>
      <c r="B893" t="s">
        <v>74</v>
      </c>
      <c r="C893" t="s">
        <v>4</v>
      </c>
      <c r="D893" t="s">
        <v>66</v>
      </c>
      <c r="E893">
        <v>3</v>
      </c>
      <c r="F893">
        <v>311.43</v>
      </c>
      <c r="G893" t="s">
        <v>12</v>
      </c>
      <c r="H893" t="s">
        <v>64</v>
      </c>
      <c r="I893">
        <v>934.29</v>
      </c>
      <c r="J893">
        <f>Tabela1[[#This Row],[Valor Total]]/Tabela1[[#This Row],[Quantidade]]</f>
        <v>311.43</v>
      </c>
      <c r="K893" t="str">
        <f>TEXT(Tabela1[[#This Row],[Data]],"aaaa-mm")</f>
        <v>2025-09</v>
      </c>
    </row>
    <row r="894" spans="1:11">
      <c r="A894" s="1">
        <v>45905</v>
      </c>
      <c r="B894" t="s">
        <v>69</v>
      </c>
      <c r="C894" t="s">
        <v>4</v>
      </c>
      <c r="D894" t="s">
        <v>66</v>
      </c>
      <c r="E894">
        <v>4</v>
      </c>
      <c r="F894">
        <v>466.64</v>
      </c>
      <c r="G894" t="s">
        <v>12</v>
      </c>
      <c r="H894" t="s">
        <v>67</v>
      </c>
      <c r="I894">
        <v>1866.56</v>
      </c>
      <c r="J894">
        <f>Tabela1[[#This Row],[Valor Total]]/Tabela1[[#This Row],[Quantidade]]</f>
        <v>466.64</v>
      </c>
      <c r="K894" t="str">
        <f>TEXT(Tabela1[[#This Row],[Data]],"aaaa-mm")</f>
        <v>2025-09</v>
      </c>
    </row>
    <row r="895" spans="1:11">
      <c r="A895" s="1">
        <v>45906</v>
      </c>
      <c r="B895" t="s">
        <v>61</v>
      </c>
      <c r="C895" t="s">
        <v>4</v>
      </c>
      <c r="D895" t="s">
        <v>70</v>
      </c>
      <c r="E895">
        <v>5</v>
      </c>
      <c r="F895">
        <v>361.71</v>
      </c>
      <c r="G895" t="s">
        <v>15</v>
      </c>
      <c r="H895" t="s">
        <v>64</v>
      </c>
      <c r="I895">
        <v>1808.55</v>
      </c>
      <c r="J895">
        <f>Tabela1[[#This Row],[Valor Total]]/Tabela1[[#This Row],[Quantidade]]</f>
        <v>361.71</v>
      </c>
      <c r="K895" t="str">
        <f>TEXT(Tabela1[[#This Row],[Data]],"aaaa-mm")</f>
        <v>2025-09</v>
      </c>
    </row>
    <row r="896" spans="1:11">
      <c r="A896" s="1">
        <v>45908</v>
      </c>
      <c r="B896" t="s">
        <v>74</v>
      </c>
      <c r="C896" t="s">
        <v>5</v>
      </c>
      <c r="D896" t="s">
        <v>73</v>
      </c>
      <c r="E896">
        <v>1</v>
      </c>
      <c r="F896">
        <v>406.82</v>
      </c>
      <c r="G896" t="s">
        <v>15</v>
      </c>
      <c r="H896" t="s">
        <v>71</v>
      </c>
      <c r="I896">
        <v>406.82</v>
      </c>
      <c r="J896">
        <f>Tabela1[[#This Row],[Valor Total]]/Tabela1[[#This Row],[Quantidade]]</f>
        <v>406.82</v>
      </c>
      <c r="K896" t="str">
        <f>TEXT(Tabela1[[#This Row],[Data]],"aaaa-mm")</f>
        <v>2025-09</v>
      </c>
    </row>
    <row r="897" spans="1:11">
      <c r="A897" s="1">
        <v>45909</v>
      </c>
      <c r="B897" t="s">
        <v>61</v>
      </c>
      <c r="C897" t="s">
        <v>4</v>
      </c>
      <c r="D897" t="s">
        <v>73</v>
      </c>
      <c r="E897">
        <v>2</v>
      </c>
      <c r="F897">
        <v>352.44</v>
      </c>
      <c r="G897" t="s">
        <v>14</v>
      </c>
      <c r="H897" t="s">
        <v>63</v>
      </c>
      <c r="I897">
        <v>704.88</v>
      </c>
      <c r="J897">
        <f>Tabela1[[#This Row],[Valor Total]]/Tabela1[[#This Row],[Quantidade]]</f>
        <v>352.44</v>
      </c>
      <c r="K897" t="str">
        <f>TEXT(Tabela1[[#This Row],[Data]],"aaaa-mm")</f>
        <v>2025-09</v>
      </c>
    </row>
    <row r="898" spans="1:11">
      <c r="A898" s="1">
        <v>45910</v>
      </c>
      <c r="B898" t="s">
        <v>68</v>
      </c>
      <c r="C898" t="s">
        <v>4</v>
      </c>
      <c r="D898" t="s">
        <v>62</v>
      </c>
      <c r="E898">
        <v>7</v>
      </c>
      <c r="F898">
        <v>148.71</v>
      </c>
      <c r="G898" t="s">
        <v>14</v>
      </c>
      <c r="H898" t="s">
        <v>63</v>
      </c>
      <c r="I898">
        <v>1040.97</v>
      </c>
      <c r="J898">
        <f>Tabela1[[#This Row],[Valor Total]]/Tabela1[[#This Row],[Quantidade]]</f>
        <v>148.71</v>
      </c>
      <c r="K898" t="str">
        <f>TEXT(Tabela1[[#This Row],[Data]],"aaaa-mm")</f>
        <v>2025-09</v>
      </c>
    </row>
    <row r="899" spans="1:11">
      <c r="A899" s="1">
        <v>45911</v>
      </c>
      <c r="B899" t="s">
        <v>69</v>
      </c>
      <c r="C899" t="s">
        <v>5</v>
      </c>
      <c r="D899" t="s">
        <v>66</v>
      </c>
      <c r="E899">
        <v>6</v>
      </c>
      <c r="F899">
        <v>387.58</v>
      </c>
      <c r="G899" t="s">
        <v>11</v>
      </c>
      <c r="H899" t="s">
        <v>67</v>
      </c>
      <c r="I899">
        <v>2325.48</v>
      </c>
      <c r="J899">
        <f>Tabela1[[#This Row],[Valor Total]]/Tabela1[[#This Row],[Quantidade]]</f>
        <v>387.58</v>
      </c>
      <c r="K899" t="str">
        <f>TEXT(Tabela1[[#This Row],[Data]],"aaaa-mm")</f>
        <v>2025-09</v>
      </c>
    </row>
    <row r="900" spans="1:11">
      <c r="A900" s="1">
        <v>45912</v>
      </c>
      <c r="B900" t="s">
        <v>61</v>
      </c>
      <c r="C900" t="s">
        <v>6</v>
      </c>
      <c r="D900" t="s">
        <v>65</v>
      </c>
      <c r="E900">
        <v>1</v>
      </c>
      <c r="F900">
        <v>179.88</v>
      </c>
      <c r="G900" t="s">
        <v>13</v>
      </c>
      <c r="H900" t="s">
        <v>67</v>
      </c>
      <c r="I900">
        <v>179.88</v>
      </c>
      <c r="J900">
        <f>Tabela1[[#This Row],[Valor Total]]/Tabela1[[#This Row],[Quantidade]]</f>
        <v>179.88</v>
      </c>
      <c r="K900" t="str">
        <f>TEXT(Tabela1[[#This Row],[Data]],"aaaa-mm")</f>
        <v>2025-09</v>
      </c>
    </row>
    <row r="901" spans="1:11">
      <c r="A901" s="1">
        <v>45913</v>
      </c>
      <c r="B901" t="s">
        <v>72</v>
      </c>
      <c r="C901" t="s">
        <v>6</v>
      </c>
      <c r="D901" t="s">
        <v>66</v>
      </c>
      <c r="E901">
        <v>3</v>
      </c>
      <c r="F901">
        <v>36.020000000000003</v>
      </c>
      <c r="G901" t="s">
        <v>12</v>
      </c>
      <c r="H901" t="s">
        <v>67</v>
      </c>
      <c r="I901">
        <v>108.06</v>
      </c>
      <c r="J901">
        <f>Tabela1[[#This Row],[Valor Total]]/Tabela1[[#This Row],[Quantidade]]</f>
        <v>36.020000000000003</v>
      </c>
      <c r="K901" t="str">
        <f>TEXT(Tabela1[[#This Row],[Data]],"aaaa-mm")</f>
        <v>2025-09</v>
      </c>
    </row>
    <row r="902" spans="1:11">
      <c r="A902" s="1">
        <v>45914</v>
      </c>
      <c r="B902" t="s">
        <v>72</v>
      </c>
      <c r="C902" t="s">
        <v>5</v>
      </c>
      <c r="D902" t="s">
        <v>70</v>
      </c>
      <c r="E902">
        <v>6</v>
      </c>
      <c r="F902">
        <v>166.1</v>
      </c>
      <c r="G902" t="s">
        <v>12</v>
      </c>
      <c r="H902" t="s">
        <v>63</v>
      </c>
      <c r="I902">
        <v>996.59999999999991</v>
      </c>
      <c r="J902">
        <f>Tabela1[[#This Row],[Valor Total]]/Tabela1[[#This Row],[Quantidade]]</f>
        <v>166.1</v>
      </c>
      <c r="K902" t="str">
        <f>TEXT(Tabela1[[#This Row],[Data]],"aaaa-mm")</f>
        <v>2025-09</v>
      </c>
    </row>
    <row r="903" spans="1:11">
      <c r="A903" s="1">
        <v>45915</v>
      </c>
      <c r="B903" t="s">
        <v>68</v>
      </c>
      <c r="C903" t="s">
        <v>7</v>
      </c>
      <c r="D903" t="s">
        <v>70</v>
      </c>
      <c r="E903">
        <v>7</v>
      </c>
      <c r="F903">
        <v>432.67</v>
      </c>
      <c r="G903" t="s">
        <v>12</v>
      </c>
      <c r="H903" t="s">
        <v>64</v>
      </c>
      <c r="I903">
        <v>3028.69</v>
      </c>
      <c r="J903">
        <f>Tabela1[[#This Row],[Valor Total]]/Tabela1[[#This Row],[Quantidade]]</f>
        <v>432.67</v>
      </c>
      <c r="K903" t="str">
        <f>TEXT(Tabela1[[#This Row],[Data]],"aaaa-mm")</f>
        <v>2025-09</v>
      </c>
    </row>
    <row r="904" spans="1:11">
      <c r="A904" s="1">
        <v>45916</v>
      </c>
      <c r="B904" t="s">
        <v>72</v>
      </c>
      <c r="C904" t="s">
        <v>4</v>
      </c>
      <c r="D904" t="s">
        <v>65</v>
      </c>
      <c r="E904">
        <v>8</v>
      </c>
      <c r="F904">
        <v>306.85000000000002</v>
      </c>
      <c r="G904" t="s">
        <v>13</v>
      </c>
      <c r="H904" t="s">
        <v>64</v>
      </c>
      <c r="I904">
        <v>2454.8000000000002</v>
      </c>
      <c r="J904">
        <f>Tabela1[[#This Row],[Valor Total]]/Tabela1[[#This Row],[Quantidade]]</f>
        <v>306.85000000000002</v>
      </c>
      <c r="K904" t="str">
        <f>TEXT(Tabela1[[#This Row],[Data]],"aaaa-mm")</f>
        <v>2025-09</v>
      </c>
    </row>
    <row r="905" spans="1:11">
      <c r="A905" s="1">
        <v>45917</v>
      </c>
      <c r="B905" t="s">
        <v>74</v>
      </c>
      <c r="C905" t="s">
        <v>6</v>
      </c>
      <c r="D905" t="s">
        <v>66</v>
      </c>
      <c r="E905">
        <v>4</v>
      </c>
      <c r="F905">
        <v>440.59</v>
      </c>
      <c r="G905" t="s">
        <v>11</v>
      </c>
      <c r="H905" t="s">
        <v>64</v>
      </c>
      <c r="I905">
        <v>1762.36</v>
      </c>
      <c r="J905">
        <f>Tabela1[[#This Row],[Valor Total]]/Tabela1[[#This Row],[Quantidade]]</f>
        <v>440.59</v>
      </c>
      <c r="K905" t="str">
        <f>TEXT(Tabela1[[#This Row],[Data]],"aaaa-mm")</f>
        <v>2025-09</v>
      </c>
    </row>
    <row r="906" spans="1:11">
      <c r="A906" s="1">
        <v>45918</v>
      </c>
      <c r="B906" t="s">
        <v>69</v>
      </c>
      <c r="C906" t="s">
        <v>8</v>
      </c>
      <c r="D906" t="s">
        <v>70</v>
      </c>
      <c r="E906">
        <v>3</v>
      </c>
      <c r="F906">
        <v>217.62</v>
      </c>
      <c r="G906" t="s">
        <v>12</v>
      </c>
      <c r="H906" t="s">
        <v>67</v>
      </c>
      <c r="I906">
        <v>652.86</v>
      </c>
      <c r="J906">
        <f>Tabela1[[#This Row],[Valor Total]]/Tabela1[[#This Row],[Quantidade]]</f>
        <v>217.62</v>
      </c>
      <c r="K906" t="str">
        <f>TEXT(Tabela1[[#This Row],[Data]],"aaaa-mm")</f>
        <v>2025-09</v>
      </c>
    </row>
    <row r="907" spans="1:11">
      <c r="A907" s="1">
        <v>45920</v>
      </c>
      <c r="B907" t="s">
        <v>74</v>
      </c>
      <c r="C907" t="s">
        <v>7</v>
      </c>
      <c r="D907" t="s">
        <v>70</v>
      </c>
      <c r="E907">
        <v>1</v>
      </c>
      <c r="F907">
        <v>135.06</v>
      </c>
      <c r="G907" t="s">
        <v>12</v>
      </c>
      <c r="H907" t="s">
        <v>63</v>
      </c>
      <c r="I907">
        <v>135.06</v>
      </c>
      <c r="J907">
        <f>Tabela1[[#This Row],[Valor Total]]/Tabela1[[#This Row],[Quantidade]]</f>
        <v>135.06</v>
      </c>
      <c r="K907" t="str">
        <f>TEXT(Tabela1[[#This Row],[Data]],"aaaa-mm")</f>
        <v>2025-09</v>
      </c>
    </row>
    <row r="908" spans="1:11">
      <c r="A908" s="1">
        <v>45921</v>
      </c>
      <c r="B908" t="s">
        <v>69</v>
      </c>
      <c r="C908" t="s">
        <v>5</v>
      </c>
      <c r="D908" t="s">
        <v>65</v>
      </c>
      <c r="E908">
        <v>6</v>
      </c>
      <c r="F908">
        <v>193.78</v>
      </c>
      <c r="G908" t="s">
        <v>13</v>
      </c>
      <c r="H908" t="s">
        <v>63</v>
      </c>
      <c r="I908">
        <v>1162.68</v>
      </c>
      <c r="J908">
        <f>Tabela1[[#This Row],[Valor Total]]/Tabela1[[#This Row],[Quantidade]]</f>
        <v>193.78</v>
      </c>
      <c r="K908" t="str">
        <f>TEXT(Tabela1[[#This Row],[Data]],"aaaa-mm")</f>
        <v>2025-09</v>
      </c>
    </row>
    <row r="909" spans="1:11">
      <c r="A909" s="1">
        <v>45922</v>
      </c>
      <c r="B909" t="s">
        <v>69</v>
      </c>
      <c r="C909" t="s">
        <v>7</v>
      </c>
      <c r="D909" t="s">
        <v>70</v>
      </c>
      <c r="E909">
        <v>8</v>
      </c>
      <c r="F909">
        <v>167.66</v>
      </c>
      <c r="G909" t="s">
        <v>14</v>
      </c>
      <c r="H909" t="s">
        <v>64</v>
      </c>
      <c r="I909">
        <v>1341.28</v>
      </c>
      <c r="J909">
        <f>Tabela1[[#This Row],[Valor Total]]/Tabela1[[#This Row],[Quantidade]]</f>
        <v>167.66</v>
      </c>
      <c r="K909" t="str">
        <f>TEXT(Tabela1[[#This Row],[Data]],"aaaa-mm")</f>
        <v>2025-09</v>
      </c>
    </row>
    <row r="910" spans="1:11">
      <c r="A910" s="1">
        <v>45923</v>
      </c>
      <c r="B910" t="s">
        <v>72</v>
      </c>
      <c r="C910" t="s">
        <v>8</v>
      </c>
      <c r="D910" t="s">
        <v>73</v>
      </c>
      <c r="E910">
        <v>5</v>
      </c>
      <c r="F910">
        <v>404.41</v>
      </c>
      <c r="G910" t="s">
        <v>15</v>
      </c>
      <c r="H910" t="s">
        <v>64</v>
      </c>
      <c r="I910">
        <v>2022.05</v>
      </c>
      <c r="J910">
        <f>Tabela1[[#This Row],[Valor Total]]/Tabela1[[#This Row],[Quantidade]]</f>
        <v>404.40999999999997</v>
      </c>
      <c r="K910" t="str">
        <f>TEXT(Tabela1[[#This Row],[Data]],"aaaa-mm")</f>
        <v>2025-09</v>
      </c>
    </row>
    <row r="911" spans="1:11">
      <c r="A911" s="1">
        <v>45924</v>
      </c>
      <c r="B911" t="s">
        <v>74</v>
      </c>
      <c r="C911" t="s">
        <v>4</v>
      </c>
      <c r="D911" t="s">
        <v>62</v>
      </c>
      <c r="E911">
        <v>9</v>
      </c>
      <c r="F911">
        <v>301.26</v>
      </c>
      <c r="G911" t="s">
        <v>11</v>
      </c>
      <c r="H911" t="s">
        <v>63</v>
      </c>
      <c r="I911">
        <v>2711.34</v>
      </c>
      <c r="J911">
        <f>Tabela1[[#This Row],[Valor Total]]/Tabela1[[#This Row],[Quantidade]]</f>
        <v>301.26</v>
      </c>
      <c r="K911" t="str">
        <f>TEXT(Tabela1[[#This Row],[Data]],"aaaa-mm")</f>
        <v>2025-09</v>
      </c>
    </row>
    <row r="912" spans="1:11">
      <c r="A912" s="1">
        <v>45925</v>
      </c>
      <c r="B912" t="s">
        <v>68</v>
      </c>
      <c r="C912" t="s">
        <v>7</v>
      </c>
      <c r="D912" t="s">
        <v>73</v>
      </c>
      <c r="E912">
        <v>3</v>
      </c>
      <c r="F912">
        <v>184.05</v>
      </c>
      <c r="G912" t="s">
        <v>11</v>
      </c>
      <c r="H912" t="s">
        <v>63</v>
      </c>
      <c r="I912">
        <v>552.15000000000009</v>
      </c>
      <c r="J912">
        <f>Tabela1[[#This Row],[Valor Total]]/Tabela1[[#This Row],[Quantidade]]</f>
        <v>184.05000000000004</v>
      </c>
      <c r="K912" t="str">
        <f>TEXT(Tabela1[[#This Row],[Data]],"aaaa-mm")</f>
        <v>2025-09</v>
      </c>
    </row>
    <row r="913" spans="1:11">
      <c r="A913" s="1">
        <v>45926</v>
      </c>
      <c r="B913" t="s">
        <v>68</v>
      </c>
      <c r="C913" t="s">
        <v>6</v>
      </c>
      <c r="D913" t="s">
        <v>70</v>
      </c>
      <c r="E913">
        <v>1</v>
      </c>
      <c r="F913">
        <v>415.83</v>
      </c>
      <c r="G913" t="s">
        <v>14</v>
      </c>
      <c r="H913" t="s">
        <v>71</v>
      </c>
      <c r="I913">
        <v>415.83</v>
      </c>
      <c r="J913">
        <f>Tabela1[[#This Row],[Valor Total]]/Tabela1[[#This Row],[Quantidade]]</f>
        <v>415.83</v>
      </c>
      <c r="K913" t="str">
        <f>TEXT(Tabela1[[#This Row],[Data]],"aaaa-mm")</f>
        <v>2025-09</v>
      </c>
    </row>
    <row r="914" spans="1:11">
      <c r="A914" s="1">
        <v>45927</v>
      </c>
      <c r="B914" t="s">
        <v>74</v>
      </c>
      <c r="C914" t="s">
        <v>6</v>
      </c>
      <c r="D914" t="s">
        <v>65</v>
      </c>
      <c r="E914">
        <v>3</v>
      </c>
      <c r="F914">
        <v>265.20999999999998</v>
      </c>
      <c r="G914" t="s">
        <v>14</v>
      </c>
      <c r="H914" t="s">
        <v>67</v>
      </c>
      <c r="I914">
        <v>795.62999999999988</v>
      </c>
      <c r="J914">
        <f>Tabela1[[#This Row],[Valor Total]]/Tabela1[[#This Row],[Quantidade]]</f>
        <v>265.20999999999998</v>
      </c>
      <c r="K914" t="str">
        <f>TEXT(Tabela1[[#This Row],[Data]],"aaaa-mm")</f>
        <v>2025-09</v>
      </c>
    </row>
    <row r="915" spans="1:11">
      <c r="A915" s="1">
        <v>45928</v>
      </c>
      <c r="B915" t="s">
        <v>61</v>
      </c>
      <c r="C915" t="s">
        <v>4</v>
      </c>
      <c r="D915" t="s">
        <v>62</v>
      </c>
      <c r="E915">
        <v>8</v>
      </c>
      <c r="F915">
        <v>232.8</v>
      </c>
      <c r="G915" t="s">
        <v>15</v>
      </c>
      <c r="H915" t="s">
        <v>67</v>
      </c>
      <c r="I915">
        <v>1862.4</v>
      </c>
      <c r="J915">
        <f>Tabela1[[#This Row],[Valor Total]]/Tabela1[[#This Row],[Quantidade]]</f>
        <v>232.8</v>
      </c>
      <c r="K915" t="str">
        <f>TEXT(Tabela1[[#This Row],[Data]],"aaaa-mm")</f>
        <v>2025-09</v>
      </c>
    </row>
    <row r="916" spans="1:11">
      <c r="A916" s="1">
        <v>45929</v>
      </c>
      <c r="B916" t="s">
        <v>74</v>
      </c>
      <c r="C916" t="s">
        <v>6</v>
      </c>
      <c r="D916" t="s">
        <v>66</v>
      </c>
      <c r="E916">
        <v>8</v>
      </c>
      <c r="F916">
        <v>469.7</v>
      </c>
      <c r="G916" t="s">
        <v>13</v>
      </c>
      <c r="H916" t="s">
        <v>67</v>
      </c>
      <c r="I916">
        <v>3757.6</v>
      </c>
      <c r="J916">
        <f>Tabela1[[#This Row],[Valor Total]]/Tabela1[[#This Row],[Quantidade]]</f>
        <v>469.7</v>
      </c>
      <c r="K916" t="str">
        <f>TEXT(Tabela1[[#This Row],[Data]],"aaaa-mm")</f>
        <v>2025-09</v>
      </c>
    </row>
    <row r="917" spans="1:11">
      <c r="A917" s="1">
        <v>45931</v>
      </c>
      <c r="B917" t="s">
        <v>72</v>
      </c>
      <c r="C917" t="s">
        <v>4</v>
      </c>
      <c r="D917" t="s">
        <v>66</v>
      </c>
      <c r="E917">
        <v>9</v>
      </c>
      <c r="F917">
        <v>237.42</v>
      </c>
      <c r="G917" t="s">
        <v>11</v>
      </c>
      <c r="H917" t="s">
        <v>67</v>
      </c>
      <c r="I917">
        <v>2136.7800000000002</v>
      </c>
      <c r="J917">
        <f>Tabela1[[#This Row],[Valor Total]]/Tabela1[[#This Row],[Quantidade]]</f>
        <v>237.42000000000002</v>
      </c>
      <c r="K917" t="str">
        <f>TEXT(Tabela1[[#This Row],[Data]],"aaaa-mm")</f>
        <v>2025-10</v>
      </c>
    </row>
    <row r="918" spans="1:11">
      <c r="A918" s="1">
        <v>45932</v>
      </c>
      <c r="B918" t="s">
        <v>72</v>
      </c>
      <c r="C918" t="s">
        <v>5</v>
      </c>
      <c r="D918" t="s">
        <v>70</v>
      </c>
      <c r="E918">
        <v>1</v>
      </c>
      <c r="F918">
        <v>271.60000000000002</v>
      </c>
      <c r="G918" t="s">
        <v>15</v>
      </c>
      <c r="H918" t="s">
        <v>71</v>
      </c>
      <c r="I918">
        <v>271.60000000000002</v>
      </c>
      <c r="J918">
        <f>Tabela1[[#This Row],[Valor Total]]/Tabela1[[#This Row],[Quantidade]]</f>
        <v>271.60000000000002</v>
      </c>
      <c r="K918" t="str">
        <f>TEXT(Tabela1[[#This Row],[Data]],"aaaa-mm")</f>
        <v>2025-10</v>
      </c>
    </row>
    <row r="919" spans="1:11">
      <c r="A919" s="1">
        <v>45933</v>
      </c>
      <c r="B919" t="s">
        <v>74</v>
      </c>
      <c r="C919" t="s">
        <v>5</v>
      </c>
      <c r="D919" t="s">
        <v>65</v>
      </c>
      <c r="E919">
        <v>6</v>
      </c>
      <c r="F919">
        <v>106.98</v>
      </c>
      <c r="G919" t="s">
        <v>13</v>
      </c>
      <c r="H919" t="s">
        <v>64</v>
      </c>
      <c r="I919">
        <v>641.88</v>
      </c>
      <c r="J919">
        <f>Tabela1[[#This Row],[Valor Total]]/Tabela1[[#This Row],[Quantidade]]</f>
        <v>106.98</v>
      </c>
      <c r="K919" t="str">
        <f>TEXT(Tabela1[[#This Row],[Data]],"aaaa-mm")</f>
        <v>2025-10</v>
      </c>
    </row>
    <row r="920" spans="1:11">
      <c r="A920" s="1">
        <v>45934</v>
      </c>
      <c r="B920" t="s">
        <v>61</v>
      </c>
      <c r="C920" t="s">
        <v>7</v>
      </c>
      <c r="D920" t="s">
        <v>73</v>
      </c>
      <c r="E920">
        <v>1</v>
      </c>
      <c r="F920">
        <v>175.68</v>
      </c>
      <c r="G920" t="s">
        <v>13</v>
      </c>
      <c r="H920" t="s">
        <v>64</v>
      </c>
      <c r="I920">
        <v>175.68</v>
      </c>
      <c r="J920">
        <f>Tabela1[[#This Row],[Valor Total]]/Tabela1[[#This Row],[Quantidade]]</f>
        <v>175.68</v>
      </c>
      <c r="K920" t="str">
        <f>TEXT(Tabela1[[#This Row],[Data]],"aaaa-mm")</f>
        <v>2025-10</v>
      </c>
    </row>
    <row r="921" spans="1:11">
      <c r="A921" s="1">
        <v>45935</v>
      </c>
      <c r="B921" t="s">
        <v>74</v>
      </c>
      <c r="C921" t="s">
        <v>7</v>
      </c>
      <c r="D921" t="s">
        <v>62</v>
      </c>
      <c r="E921">
        <v>7</v>
      </c>
      <c r="F921">
        <v>373.54</v>
      </c>
      <c r="G921" t="s">
        <v>14</v>
      </c>
      <c r="H921" t="s">
        <v>63</v>
      </c>
      <c r="I921">
        <v>2614.7800000000002</v>
      </c>
      <c r="J921">
        <f>Tabela1[[#This Row],[Valor Total]]/Tabela1[[#This Row],[Quantidade]]</f>
        <v>373.54</v>
      </c>
      <c r="K921" t="str">
        <f>TEXT(Tabela1[[#This Row],[Data]],"aaaa-mm")</f>
        <v>2025-10</v>
      </c>
    </row>
    <row r="922" spans="1:11">
      <c r="A922" s="1">
        <v>45936</v>
      </c>
      <c r="B922" t="s">
        <v>72</v>
      </c>
      <c r="C922" t="s">
        <v>5</v>
      </c>
      <c r="D922" t="s">
        <v>73</v>
      </c>
      <c r="E922">
        <v>4</v>
      </c>
      <c r="F922">
        <v>371.62</v>
      </c>
      <c r="G922" t="s">
        <v>14</v>
      </c>
      <c r="H922" t="s">
        <v>64</v>
      </c>
      <c r="I922">
        <v>1486.48</v>
      </c>
      <c r="J922">
        <f>Tabela1[[#This Row],[Valor Total]]/Tabela1[[#This Row],[Quantidade]]</f>
        <v>371.62</v>
      </c>
      <c r="K922" t="str">
        <f>TEXT(Tabela1[[#This Row],[Data]],"aaaa-mm")</f>
        <v>2025-10</v>
      </c>
    </row>
    <row r="923" spans="1:11">
      <c r="A923" s="1">
        <v>45937</v>
      </c>
      <c r="B923" t="s">
        <v>68</v>
      </c>
      <c r="C923" t="s">
        <v>5</v>
      </c>
      <c r="D923" t="s">
        <v>73</v>
      </c>
      <c r="E923">
        <v>1</v>
      </c>
      <c r="F923">
        <v>272.48</v>
      </c>
      <c r="G923" t="s">
        <v>15</v>
      </c>
      <c r="H923" t="s">
        <v>67</v>
      </c>
      <c r="I923">
        <v>272.48</v>
      </c>
      <c r="J923">
        <f>Tabela1[[#This Row],[Valor Total]]/Tabela1[[#This Row],[Quantidade]]</f>
        <v>272.48</v>
      </c>
      <c r="K923" t="str">
        <f>TEXT(Tabela1[[#This Row],[Data]],"aaaa-mm")</f>
        <v>2025-10</v>
      </c>
    </row>
    <row r="924" spans="1:11">
      <c r="A924" s="1">
        <v>45938</v>
      </c>
      <c r="B924" t="s">
        <v>68</v>
      </c>
      <c r="C924" t="s">
        <v>7</v>
      </c>
      <c r="D924" t="s">
        <v>73</v>
      </c>
      <c r="E924">
        <v>3</v>
      </c>
      <c r="F924">
        <v>419.84</v>
      </c>
      <c r="G924" t="s">
        <v>15</v>
      </c>
      <c r="H924" t="s">
        <v>63</v>
      </c>
      <c r="I924">
        <v>1259.52</v>
      </c>
      <c r="J924">
        <f>Tabela1[[#This Row],[Valor Total]]/Tabela1[[#This Row],[Quantidade]]</f>
        <v>419.84</v>
      </c>
      <c r="K924" t="str">
        <f>TEXT(Tabela1[[#This Row],[Data]],"aaaa-mm")</f>
        <v>2025-10</v>
      </c>
    </row>
    <row r="925" spans="1:11">
      <c r="A925" s="1">
        <v>45939</v>
      </c>
      <c r="B925" t="s">
        <v>61</v>
      </c>
      <c r="C925" t="s">
        <v>8</v>
      </c>
      <c r="D925" t="s">
        <v>62</v>
      </c>
      <c r="E925">
        <v>5</v>
      </c>
      <c r="F925">
        <v>29.53</v>
      </c>
      <c r="G925" t="s">
        <v>11</v>
      </c>
      <c r="H925" t="s">
        <v>71</v>
      </c>
      <c r="I925">
        <v>147.65</v>
      </c>
      <c r="J925">
        <f>Tabela1[[#This Row],[Valor Total]]/Tabela1[[#This Row],[Quantidade]]</f>
        <v>29.53</v>
      </c>
      <c r="K925" t="str">
        <f>TEXT(Tabela1[[#This Row],[Data]],"aaaa-mm")</f>
        <v>2025-10</v>
      </c>
    </row>
    <row r="926" spans="1:11">
      <c r="A926" s="1">
        <v>45940</v>
      </c>
      <c r="B926" t="s">
        <v>68</v>
      </c>
      <c r="C926" t="s">
        <v>7</v>
      </c>
      <c r="D926" t="s">
        <v>62</v>
      </c>
      <c r="E926">
        <v>3</v>
      </c>
      <c r="F926">
        <v>437.06</v>
      </c>
      <c r="G926" t="s">
        <v>15</v>
      </c>
      <c r="H926" t="s">
        <v>63</v>
      </c>
      <c r="I926">
        <v>1311.18</v>
      </c>
      <c r="J926">
        <f>Tabela1[[#This Row],[Valor Total]]/Tabela1[[#This Row],[Quantidade]]</f>
        <v>437.06</v>
      </c>
      <c r="K926" t="str">
        <f>TEXT(Tabela1[[#This Row],[Data]],"aaaa-mm")</f>
        <v>2025-10</v>
      </c>
    </row>
    <row r="927" spans="1:11">
      <c r="A927" s="1">
        <v>45941</v>
      </c>
      <c r="B927" t="s">
        <v>61</v>
      </c>
      <c r="C927" t="s">
        <v>4</v>
      </c>
      <c r="D927" t="s">
        <v>73</v>
      </c>
      <c r="E927">
        <v>4</v>
      </c>
      <c r="F927">
        <v>465.59</v>
      </c>
      <c r="G927" t="s">
        <v>11</v>
      </c>
      <c r="H927" t="s">
        <v>63</v>
      </c>
      <c r="I927">
        <v>1862.36</v>
      </c>
      <c r="J927">
        <f>Tabela1[[#This Row],[Valor Total]]/Tabela1[[#This Row],[Quantidade]]</f>
        <v>465.59</v>
      </c>
      <c r="K927" t="str">
        <f>TEXT(Tabela1[[#This Row],[Data]],"aaaa-mm")</f>
        <v>2025-10</v>
      </c>
    </row>
    <row r="928" spans="1:11">
      <c r="A928" s="1">
        <v>45943</v>
      </c>
      <c r="B928" t="s">
        <v>68</v>
      </c>
      <c r="C928" t="s">
        <v>8</v>
      </c>
      <c r="D928" t="s">
        <v>62</v>
      </c>
      <c r="E928">
        <v>1</v>
      </c>
      <c r="F928">
        <v>469.85</v>
      </c>
      <c r="G928" t="s">
        <v>11</v>
      </c>
      <c r="H928" t="s">
        <v>67</v>
      </c>
      <c r="I928">
        <v>469.85</v>
      </c>
      <c r="J928">
        <f>Tabela1[[#This Row],[Valor Total]]/Tabela1[[#This Row],[Quantidade]]</f>
        <v>469.85</v>
      </c>
      <c r="K928" t="str">
        <f>TEXT(Tabela1[[#This Row],[Data]],"aaaa-mm")</f>
        <v>2025-10</v>
      </c>
    </row>
    <row r="929" spans="1:11">
      <c r="A929" s="1">
        <v>45944</v>
      </c>
      <c r="B929" t="s">
        <v>74</v>
      </c>
      <c r="C929" t="s">
        <v>7</v>
      </c>
      <c r="D929" t="s">
        <v>70</v>
      </c>
      <c r="E929">
        <v>3</v>
      </c>
      <c r="F929">
        <v>319.89</v>
      </c>
      <c r="G929" t="s">
        <v>13</v>
      </c>
      <c r="H929" t="s">
        <v>67</v>
      </c>
      <c r="I929">
        <v>959.67</v>
      </c>
      <c r="J929">
        <f>Tabela1[[#This Row],[Valor Total]]/Tabela1[[#This Row],[Quantidade]]</f>
        <v>319.89</v>
      </c>
      <c r="K929" t="str">
        <f>TEXT(Tabela1[[#This Row],[Data]],"aaaa-mm")</f>
        <v>2025-10</v>
      </c>
    </row>
    <row r="930" spans="1:11">
      <c r="A930" s="1">
        <v>45945</v>
      </c>
      <c r="B930" t="s">
        <v>72</v>
      </c>
      <c r="C930" t="s">
        <v>4</v>
      </c>
      <c r="D930" t="s">
        <v>62</v>
      </c>
      <c r="E930">
        <v>6</v>
      </c>
      <c r="F930">
        <v>468.98</v>
      </c>
      <c r="G930" t="s">
        <v>14</v>
      </c>
      <c r="H930" t="s">
        <v>71</v>
      </c>
      <c r="I930">
        <v>2813.88</v>
      </c>
      <c r="J930">
        <f>Tabela1[[#This Row],[Valor Total]]/Tabela1[[#This Row],[Quantidade]]</f>
        <v>468.98</v>
      </c>
      <c r="K930" t="str">
        <f>TEXT(Tabela1[[#This Row],[Data]],"aaaa-mm")</f>
        <v>2025-10</v>
      </c>
    </row>
    <row r="931" spans="1:11">
      <c r="A931" s="1">
        <v>45946</v>
      </c>
      <c r="B931" t="s">
        <v>68</v>
      </c>
      <c r="C931" t="s">
        <v>8</v>
      </c>
      <c r="D931" t="s">
        <v>66</v>
      </c>
      <c r="E931">
        <v>3</v>
      </c>
      <c r="F931">
        <v>436.27</v>
      </c>
      <c r="G931" t="s">
        <v>12</v>
      </c>
      <c r="H931" t="s">
        <v>71</v>
      </c>
      <c r="I931">
        <v>1308.81</v>
      </c>
      <c r="J931">
        <f>Tabela1[[#This Row],[Valor Total]]/Tabela1[[#This Row],[Quantidade]]</f>
        <v>436.27</v>
      </c>
      <c r="K931" t="str">
        <f>TEXT(Tabela1[[#This Row],[Data]],"aaaa-mm")</f>
        <v>2025-10</v>
      </c>
    </row>
    <row r="932" spans="1:11">
      <c r="A932" s="1">
        <v>45947</v>
      </c>
      <c r="B932" t="s">
        <v>61</v>
      </c>
      <c r="C932" t="s">
        <v>5</v>
      </c>
      <c r="D932" t="s">
        <v>62</v>
      </c>
      <c r="E932">
        <v>8</v>
      </c>
      <c r="F932">
        <v>419.27</v>
      </c>
      <c r="G932" t="s">
        <v>12</v>
      </c>
      <c r="H932" t="s">
        <v>63</v>
      </c>
      <c r="I932">
        <v>3354.16</v>
      </c>
      <c r="J932">
        <f>Tabela1[[#This Row],[Valor Total]]/Tabela1[[#This Row],[Quantidade]]</f>
        <v>419.27</v>
      </c>
      <c r="K932" t="str">
        <f>TEXT(Tabela1[[#This Row],[Data]],"aaaa-mm")</f>
        <v>2025-10</v>
      </c>
    </row>
    <row r="933" spans="1:11">
      <c r="A933" s="1">
        <v>45948</v>
      </c>
      <c r="B933" t="s">
        <v>61</v>
      </c>
      <c r="C933" t="s">
        <v>4</v>
      </c>
      <c r="D933" t="s">
        <v>70</v>
      </c>
      <c r="E933">
        <v>7</v>
      </c>
      <c r="F933">
        <v>71.709999999999994</v>
      </c>
      <c r="G933" t="s">
        <v>13</v>
      </c>
      <c r="H933" t="s">
        <v>71</v>
      </c>
      <c r="I933">
        <v>501.97</v>
      </c>
      <c r="J933">
        <f>Tabela1[[#This Row],[Valor Total]]/Tabela1[[#This Row],[Quantidade]]</f>
        <v>71.710000000000008</v>
      </c>
      <c r="K933" t="str">
        <f>TEXT(Tabela1[[#This Row],[Data]],"aaaa-mm")</f>
        <v>2025-10</v>
      </c>
    </row>
    <row r="934" spans="1:11">
      <c r="A934" s="1">
        <v>45949</v>
      </c>
      <c r="B934" t="s">
        <v>74</v>
      </c>
      <c r="C934" t="s">
        <v>4</v>
      </c>
      <c r="D934" t="s">
        <v>70</v>
      </c>
      <c r="E934">
        <v>5</v>
      </c>
      <c r="F934">
        <v>56.31</v>
      </c>
      <c r="G934" t="s">
        <v>14</v>
      </c>
      <c r="H934" t="s">
        <v>67</v>
      </c>
      <c r="I934">
        <v>281.55</v>
      </c>
      <c r="J934">
        <f>Tabela1[[#This Row],[Valor Total]]/Tabela1[[#This Row],[Quantidade]]</f>
        <v>56.31</v>
      </c>
      <c r="K934" t="str">
        <f>TEXT(Tabela1[[#This Row],[Data]],"aaaa-mm")</f>
        <v>2025-10</v>
      </c>
    </row>
    <row r="935" spans="1:11">
      <c r="A935" s="1">
        <v>45950</v>
      </c>
      <c r="B935" t="s">
        <v>61</v>
      </c>
      <c r="C935" t="s">
        <v>4</v>
      </c>
      <c r="D935" t="s">
        <v>65</v>
      </c>
      <c r="E935">
        <v>6</v>
      </c>
      <c r="F935">
        <v>239.28</v>
      </c>
      <c r="G935" t="s">
        <v>15</v>
      </c>
      <c r="H935" t="s">
        <v>67</v>
      </c>
      <c r="I935">
        <v>1435.68</v>
      </c>
      <c r="J935">
        <f>Tabela1[[#This Row],[Valor Total]]/Tabela1[[#This Row],[Quantidade]]</f>
        <v>239.28</v>
      </c>
      <c r="K935" t="str">
        <f>TEXT(Tabela1[[#This Row],[Data]],"aaaa-mm")</f>
        <v>2025-10</v>
      </c>
    </row>
    <row r="936" spans="1:11">
      <c r="A936" s="1">
        <v>45951</v>
      </c>
      <c r="B936" t="s">
        <v>72</v>
      </c>
      <c r="C936" t="s">
        <v>8</v>
      </c>
      <c r="D936" t="s">
        <v>65</v>
      </c>
      <c r="E936">
        <v>7</v>
      </c>
      <c r="F936">
        <v>440.5</v>
      </c>
      <c r="G936" t="s">
        <v>11</v>
      </c>
      <c r="H936" t="s">
        <v>71</v>
      </c>
      <c r="I936">
        <v>3083.5</v>
      </c>
      <c r="J936">
        <f>Tabela1[[#This Row],[Valor Total]]/Tabela1[[#This Row],[Quantidade]]</f>
        <v>440.5</v>
      </c>
      <c r="K936" t="str">
        <f>TEXT(Tabela1[[#This Row],[Data]],"aaaa-mm")</f>
        <v>2025-10</v>
      </c>
    </row>
    <row r="937" spans="1:11">
      <c r="A937" s="1">
        <v>45952</v>
      </c>
      <c r="B937" t="s">
        <v>68</v>
      </c>
      <c r="C937" t="s">
        <v>7</v>
      </c>
      <c r="D937" t="s">
        <v>62</v>
      </c>
      <c r="E937">
        <v>4</v>
      </c>
      <c r="F937">
        <v>306.11</v>
      </c>
      <c r="G937" t="s">
        <v>14</v>
      </c>
      <c r="H937" t="s">
        <v>64</v>
      </c>
      <c r="I937">
        <v>1224.44</v>
      </c>
      <c r="J937">
        <f>Tabela1[[#This Row],[Valor Total]]/Tabela1[[#This Row],[Quantidade]]</f>
        <v>306.11</v>
      </c>
      <c r="K937" t="str">
        <f>TEXT(Tabela1[[#This Row],[Data]],"aaaa-mm")</f>
        <v>2025-10</v>
      </c>
    </row>
    <row r="938" spans="1:11">
      <c r="A938" s="1">
        <v>45954</v>
      </c>
      <c r="B938" t="s">
        <v>69</v>
      </c>
      <c r="C938" t="s">
        <v>8</v>
      </c>
      <c r="D938" t="s">
        <v>66</v>
      </c>
      <c r="E938">
        <v>1</v>
      </c>
      <c r="F938">
        <v>59.8</v>
      </c>
      <c r="G938" t="s">
        <v>11</v>
      </c>
      <c r="H938" t="s">
        <v>71</v>
      </c>
      <c r="I938">
        <v>59.8</v>
      </c>
      <c r="J938">
        <f>Tabela1[[#This Row],[Valor Total]]/Tabela1[[#This Row],[Quantidade]]</f>
        <v>59.8</v>
      </c>
      <c r="K938" t="str">
        <f>TEXT(Tabela1[[#This Row],[Data]],"aaaa-mm")</f>
        <v>2025-10</v>
      </c>
    </row>
    <row r="939" spans="1:11">
      <c r="A939" s="1">
        <v>45955</v>
      </c>
      <c r="B939" t="s">
        <v>61</v>
      </c>
      <c r="C939" t="s">
        <v>7</v>
      </c>
      <c r="D939" t="s">
        <v>65</v>
      </c>
      <c r="E939">
        <v>6</v>
      </c>
      <c r="F939">
        <v>151.30000000000001</v>
      </c>
      <c r="G939" t="s">
        <v>13</v>
      </c>
      <c r="H939" t="s">
        <v>63</v>
      </c>
      <c r="I939">
        <v>907.80000000000007</v>
      </c>
      <c r="J939">
        <f>Tabela1[[#This Row],[Valor Total]]/Tabela1[[#This Row],[Quantidade]]</f>
        <v>151.30000000000001</v>
      </c>
      <c r="K939" t="str">
        <f>TEXT(Tabela1[[#This Row],[Data]],"aaaa-mm")</f>
        <v>2025-10</v>
      </c>
    </row>
    <row r="940" spans="1:11">
      <c r="A940" s="1">
        <v>45956</v>
      </c>
      <c r="B940" t="s">
        <v>68</v>
      </c>
      <c r="C940" t="s">
        <v>6</v>
      </c>
      <c r="D940" t="s">
        <v>73</v>
      </c>
      <c r="E940">
        <v>4</v>
      </c>
      <c r="F940">
        <v>410.15</v>
      </c>
      <c r="G940" t="s">
        <v>14</v>
      </c>
      <c r="H940" t="s">
        <v>64</v>
      </c>
      <c r="I940">
        <v>1640.6</v>
      </c>
      <c r="J940">
        <f>Tabela1[[#This Row],[Valor Total]]/Tabela1[[#This Row],[Quantidade]]</f>
        <v>410.15</v>
      </c>
      <c r="K940" t="str">
        <f>TEXT(Tabela1[[#This Row],[Data]],"aaaa-mm")</f>
        <v>2025-10</v>
      </c>
    </row>
    <row r="941" spans="1:11">
      <c r="A941" s="1">
        <v>45957</v>
      </c>
      <c r="B941" t="s">
        <v>69</v>
      </c>
      <c r="C941" t="s">
        <v>5</v>
      </c>
      <c r="D941" t="s">
        <v>73</v>
      </c>
      <c r="E941">
        <v>8</v>
      </c>
      <c r="F941">
        <v>53.86</v>
      </c>
      <c r="G941" t="s">
        <v>14</v>
      </c>
      <c r="H941" t="s">
        <v>67</v>
      </c>
      <c r="I941">
        <v>430.88</v>
      </c>
      <c r="J941">
        <f>Tabela1[[#This Row],[Valor Total]]/Tabela1[[#This Row],[Quantidade]]</f>
        <v>53.86</v>
      </c>
      <c r="K941" t="str">
        <f>TEXT(Tabela1[[#This Row],[Data]],"aaaa-mm")</f>
        <v>2025-10</v>
      </c>
    </row>
    <row r="942" spans="1:11">
      <c r="A942" s="1">
        <v>45958</v>
      </c>
      <c r="B942" t="s">
        <v>68</v>
      </c>
      <c r="C942" t="s">
        <v>6</v>
      </c>
      <c r="D942" t="s">
        <v>73</v>
      </c>
      <c r="E942">
        <v>5</v>
      </c>
      <c r="F942">
        <v>201.1</v>
      </c>
      <c r="G942" t="s">
        <v>11</v>
      </c>
      <c r="H942" t="s">
        <v>63</v>
      </c>
      <c r="I942">
        <v>1005.5</v>
      </c>
      <c r="J942">
        <f>Tabela1[[#This Row],[Valor Total]]/Tabela1[[#This Row],[Quantidade]]</f>
        <v>201.1</v>
      </c>
      <c r="K942" t="str">
        <f>TEXT(Tabela1[[#This Row],[Data]],"aaaa-mm")</f>
        <v>2025-10</v>
      </c>
    </row>
    <row r="943" spans="1:11">
      <c r="A943" s="1">
        <v>45959</v>
      </c>
      <c r="B943" t="s">
        <v>74</v>
      </c>
      <c r="C943" t="s">
        <v>6</v>
      </c>
      <c r="D943" t="s">
        <v>62</v>
      </c>
      <c r="E943">
        <v>4</v>
      </c>
      <c r="F943">
        <v>152.72999999999999</v>
      </c>
      <c r="G943" t="s">
        <v>12</v>
      </c>
      <c r="H943" t="s">
        <v>67</v>
      </c>
      <c r="I943">
        <v>610.91999999999996</v>
      </c>
      <c r="J943">
        <f>Tabela1[[#This Row],[Valor Total]]/Tabela1[[#This Row],[Quantidade]]</f>
        <v>152.72999999999999</v>
      </c>
      <c r="K943" t="str">
        <f>TEXT(Tabela1[[#This Row],[Data]],"aaaa-mm")</f>
        <v>2025-10</v>
      </c>
    </row>
    <row r="944" spans="1:11">
      <c r="A944" s="1">
        <v>45960</v>
      </c>
      <c r="B944" t="s">
        <v>72</v>
      </c>
      <c r="C944" t="s">
        <v>8</v>
      </c>
      <c r="D944" t="s">
        <v>73</v>
      </c>
      <c r="E944">
        <v>6</v>
      </c>
      <c r="F944">
        <v>305.35000000000002</v>
      </c>
      <c r="G944" t="s">
        <v>11</v>
      </c>
      <c r="H944" t="s">
        <v>71</v>
      </c>
      <c r="I944">
        <v>1832.1</v>
      </c>
      <c r="J944">
        <f>Tabela1[[#This Row],[Valor Total]]/Tabela1[[#This Row],[Quantidade]]</f>
        <v>305.34999999999997</v>
      </c>
      <c r="K944" t="str">
        <f>TEXT(Tabela1[[#This Row],[Data]],"aaaa-mm")</f>
        <v>2025-10</v>
      </c>
    </row>
    <row r="945" spans="1:11">
      <c r="A945" s="1">
        <v>45961</v>
      </c>
      <c r="B945" t="s">
        <v>61</v>
      </c>
      <c r="C945" t="s">
        <v>7</v>
      </c>
      <c r="D945" t="s">
        <v>66</v>
      </c>
      <c r="E945">
        <v>4</v>
      </c>
      <c r="F945">
        <v>279.82</v>
      </c>
      <c r="G945" t="s">
        <v>11</v>
      </c>
      <c r="H945" t="s">
        <v>63</v>
      </c>
      <c r="I945">
        <v>1119.28</v>
      </c>
      <c r="J945">
        <f>Tabela1[[#This Row],[Valor Total]]/Tabela1[[#This Row],[Quantidade]]</f>
        <v>279.82</v>
      </c>
      <c r="K945" t="str">
        <f>TEXT(Tabela1[[#This Row],[Data]],"aaaa-mm")</f>
        <v>2025-10</v>
      </c>
    </row>
    <row r="946" spans="1:11">
      <c r="A946" s="1">
        <v>45962</v>
      </c>
      <c r="B946" t="s">
        <v>74</v>
      </c>
      <c r="C946" t="s">
        <v>7</v>
      </c>
      <c r="D946" t="s">
        <v>70</v>
      </c>
      <c r="E946">
        <v>9</v>
      </c>
      <c r="F946">
        <v>370.31</v>
      </c>
      <c r="G946" t="s">
        <v>12</v>
      </c>
      <c r="H946" t="s">
        <v>64</v>
      </c>
      <c r="I946">
        <v>3332.79</v>
      </c>
      <c r="J946">
        <f>Tabela1[[#This Row],[Valor Total]]/Tabela1[[#This Row],[Quantidade]]</f>
        <v>370.31</v>
      </c>
      <c r="K946" t="str">
        <f>TEXT(Tabela1[[#This Row],[Data]],"aaaa-mm")</f>
        <v>2025-11</v>
      </c>
    </row>
    <row r="947" spans="1:11">
      <c r="A947" s="1">
        <v>45963</v>
      </c>
      <c r="B947" t="s">
        <v>61</v>
      </c>
      <c r="C947" t="s">
        <v>8</v>
      </c>
      <c r="D947" t="s">
        <v>73</v>
      </c>
      <c r="E947">
        <v>7</v>
      </c>
      <c r="F947">
        <v>440.51</v>
      </c>
      <c r="G947" t="s">
        <v>13</v>
      </c>
      <c r="H947" t="s">
        <v>71</v>
      </c>
      <c r="I947">
        <v>3083.57</v>
      </c>
      <c r="J947">
        <f>Tabela1[[#This Row],[Valor Total]]/Tabela1[[#This Row],[Quantidade]]</f>
        <v>440.51000000000005</v>
      </c>
      <c r="K947" t="str">
        <f>TEXT(Tabela1[[#This Row],[Data]],"aaaa-mm")</f>
        <v>2025-11</v>
      </c>
    </row>
    <row r="948" spans="1:11">
      <c r="A948" s="1">
        <v>45965</v>
      </c>
      <c r="B948" t="s">
        <v>69</v>
      </c>
      <c r="C948" t="s">
        <v>7</v>
      </c>
      <c r="D948" t="s">
        <v>73</v>
      </c>
      <c r="E948">
        <v>1</v>
      </c>
      <c r="F948">
        <v>147.4</v>
      </c>
      <c r="G948" t="s">
        <v>15</v>
      </c>
      <c r="H948" t="s">
        <v>71</v>
      </c>
      <c r="I948">
        <v>147.4</v>
      </c>
      <c r="J948">
        <f>Tabela1[[#This Row],[Valor Total]]/Tabela1[[#This Row],[Quantidade]]</f>
        <v>147.4</v>
      </c>
      <c r="K948" t="str">
        <f>TEXT(Tabela1[[#This Row],[Data]],"aaaa-mm")</f>
        <v>2025-11</v>
      </c>
    </row>
    <row r="949" spans="1:11">
      <c r="A949" s="1">
        <v>45966</v>
      </c>
      <c r="B949" t="s">
        <v>72</v>
      </c>
      <c r="C949" t="s">
        <v>5</v>
      </c>
      <c r="D949" t="s">
        <v>62</v>
      </c>
      <c r="E949">
        <v>2</v>
      </c>
      <c r="F949">
        <v>247.35</v>
      </c>
      <c r="G949" t="s">
        <v>14</v>
      </c>
      <c r="H949" t="s">
        <v>67</v>
      </c>
      <c r="I949">
        <v>494.7</v>
      </c>
      <c r="J949">
        <f>Tabela1[[#This Row],[Valor Total]]/Tabela1[[#This Row],[Quantidade]]</f>
        <v>247.35</v>
      </c>
      <c r="K949" t="str">
        <f>TEXT(Tabela1[[#This Row],[Data]],"aaaa-mm")</f>
        <v>2025-11</v>
      </c>
    </row>
    <row r="950" spans="1:11">
      <c r="A950" s="1">
        <v>45967</v>
      </c>
      <c r="B950" t="s">
        <v>68</v>
      </c>
      <c r="C950" t="s">
        <v>8</v>
      </c>
      <c r="D950" t="s">
        <v>62</v>
      </c>
      <c r="E950">
        <v>8</v>
      </c>
      <c r="F950">
        <v>92.86</v>
      </c>
      <c r="G950" t="s">
        <v>11</v>
      </c>
      <c r="H950" t="s">
        <v>67</v>
      </c>
      <c r="I950">
        <v>742.88</v>
      </c>
      <c r="J950">
        <f>Tabela1[[#This Row],[Valor Total]]/Tabela1[[#This Row],[Quantidade]]</f>
        <v>92.86</v>
      </c>
      <c r="K950" t="str">
        <f>TEXT(Tabela1[[#This Row],[Data]],"aaaa-mm")</f>
        <v>2025-11</v>
      </c>
    </row>
    <row r="951" spans="1:11">
      <c r="A951" s="1">
        <v>45968</v>
      </c>
      <c r="B951" t="s">
        <v>74</v>
      </c>
      <c r="C951" t="s">
        <v>8</v>
      </c>
      <c r="D951" t="s">
        <v>70</v>
      </c>
      <c r="E951">
        <v>5</v>
      </c>
      <c r="F951">
        <v>294.74</v>
      </c>
      <c r="G951" t="s">
        <v>14</v>
      </c>
      <c r="H951" t="s">
        <v>71</v>
      </c>
      <c r="I951">
        <v>1473.7</v>
      </c>
      <c r="J951">
        <f>Tabela1[[#This Row],[Valor Total]]/Tabela1[[#This Row],[Quantidade]]</f>
        <v>294.74</v>
      </c>
      <c r="K951" t="str">
        <f>TEXT(Tabela1[[#This Row],[Data]],"aaaa-mm")</f>
        <v>2025-11</v>
      </c>
    </row>
    <row r="952" spans="1:11">
      <c r="A952" s="1">
        <v>45969</v>
      </c>
      <c r="B952" t="s">
        <v>61</v>
      </c>
      <c r="C952" t="s">
        <v>4</v>
      </c>
      <c r="D952" t="s">
        <v>70</v>
      </c>
      <c r="E952">
        <v>9</v>
      </c>
      <c r="F952">
        <v>356.48</v>
      </c>
      <c r="G952" t="s">
        <v>13</v>
      </c>
      <c r="H952" t="s">
        <v>67</v>
      </c>
      <c r="I952">
        <v>3208.32</v>
      </c>
      <c r="J952">
        <f>Tabela1[[#This Row],[Valor Total]]/Tabela1[[#This Row],[Quantidade]]</f>
        <v>356.48</v>
      </c>
      <c r="K952" t="str">
        <f>TEXT(Tabela1[[#This Row],[Data]],"aaaa-mm")</f>
        <v>2025-11</v>
      </c>
    </row>
    <row r="953" spans="1:11">
      <c r="A953" s="1">
        <v>45970</v>
      </c>
      <c r="B953" t="s">
        <v>69</v>
      </c>
      <c r="C953" t="s">
        <v>5</v>
      </c>
      <c r="D953" t="s">
        <v>62</v>
      </c>
      <c r="E953">
        <v>9</v>
      </c>
      <c r="F953">
        <v>115.17</v>
      </c>
      <c r="G953" t="s">
        <v>12</v>
      </c>
      <c r="H953" t="s">
        <v>64</v>
      </c>
      <c r="I953">
        <v>1036.53</v>
      </c>
      <c r="J953">
        <f>Tabela1[[#This Row],[Valor Total]]/Tabela1[[#This Row],[Quantidade]]</f>
        <v>115.17</v>
      </c>
      <c r="K953" t="str">
        <f>TEXT(Tabela1[[#This Row],[Data]],"aaaa-mm")</f>
        <v>2025-11</v>
      </c>
    </row>
    <row r="954" spans="1:11">
      <c r="A954" s="1">
        <v>45971</v>
      </c>
      <c r="B954" t="s">
        <v>61</v>
      </c>
      <c r="C954" t="s">
        <v>5</v>
      </c>
      <c r="D954" t="s">
        <v>66</v>
      </c>
      <c r="E954">
        <v>3</v>
      </c>
      <c r="F954">
        <v>425.68</v>
      </c>
      <c r="G954" t="s">
        <v>12</v>
      </c>
      <c r="H954" t="s">
        <v>67</v>
      </c>
      <c r="I954">
        <v>1277.04</v>
      </c>
      <c r="J954">
        <f>Tabela1[[#This Row],[Valor Total]]/Tabela1[[#This Row],[Quantidade]]</f>
        <v>425.68</v>
      </c>
      <c r="K954" t="str">
        <f>TEXT(Tabela1[[#This Row],[Data]],"aaaa-mm")</f>
        <v>2025-11</v>
      </c>
    </row>
    <row r="955" spans="1:11">
      <c r="A955" s="1">
        <v>45972</v>
      </c>
      <c r="B955" t="s">
        <v>74</v>
      </c>
      <c r="C955" t="s">
        <v>8</v>
      </c>
      <c r="D955" t="s">
        <v>62</v>
      </c>
      <c r="E955">
        <v>1</v>
      </c>
      <c r="F955">
        <v>40.729999999999997</v>
      </c>
      <c r="G955" t="s">
        <v>14</v>
      </c>
      <c r="H955" t="s">
        <v>63</v>
      </c>
      <c r="I955">
        <v>40.729999999999997</v>
      </c>
      <c r="J955">
        <f>Tabela1[[#This Row],[Valor Total]]/Tabela1[[#This Row],[Quantidade]]</f>
        <v>40.729999999999997</v>
      </c>
      <c r="K955" t="str">
        <f>TEXT(Tabela1[[#This Row],[Data]],"aaaa-mm")</f>
        <v>2025-11</v>
      </c>
    </row>
    <row r="956" spans="1:11">
      <c r="A956" s="1">
        <v>45973</v>
      </c>
      <c r="B956" t="s">
        <v>68</v>
      </c>
      <c r="C956" t="s">
        <v>6</v>
      </c>
      <c r="D956" t="s">
        <v>62</v>
      </c>
      <c r="E956">
        <v>1</v>
      </c>
      <c r="F956">
        <v>393.33</v>
      </c>
      <c r="G956" t="s">
        <v>11</v>
      </c>
      <c r="H956" t="s">
        <v>71</v>
      </c>
      <c r="I956">
        <v>393.33</v>
      </c>
      <c r="J956">
        <f>Tabela1[[#This Row],[Valor Total]]/Tabela1[[#This Row],[Quantidade]]</f>
        <v>393.33</v>
      </c>
      <c r="K956" t="str">
        <f>TEXT(Tabela1[[#This Row],[Data]],"aaaa-mm")</f>
        <v>2025-11</v>
      </c>
    </row>
    <row r="957" spans="1:11">
      <c r="A957" s="1">
        <v>45974</v>
      </c>
      <c r="B957" t="s">
        <v>69</v>
      </c>
      <c r="C957" t="s">
        <v>7</v>
      </c>
      <c r="D957" t="s">
        <v>66</v>
      </c>
      <c r="E957">
        <v>2</v>
      </c>
      <c r="F957">
        <v>452.53</v>
      </c>
      <c r="G957" t="s">
        <v>12</v>
      </c>
      <c r="H957" t="s">
        <v>64</v>
      </c>
      <c r="I957">
        <v>905.06</v>
      </c>
      <c r="J957">
        <f>Tabela1[[#This Row],[Valor Total]]/Tabela1[[#This Row],[Quantidade]]</f>
        <v>452.53</v>
      </c>
      <c r="K957" t="str">
        <f>TEXT(Tabela1[[#This Row],[Data]],"aaaa-mm")</f>
        <v>2025-11</v>
      </c>
    </row>
    <row r="958" spans="1:11">
      <c r="A958" s="1">
        <v>45975</v>
      </c>
      <c r="B958" t="s">
        <v>61</v>
      </c>
      <c r="C958" t="s">
        <v>6</v>
      </c>
      <c r="D958" t="s">
        <v>70</v>
      </c>
      <c r="E958">
        <v>4</v>
      </c>
      <c r="F958">
        <v>494.99</v>
      </c>
      <c r="G958" t="s">
        <v>11</v>
      </c>
      <c r="H958" t="s">
        <v>63</v>
      </c>
      <c r="I958">
        <v>1979.96</v>
      </c>
      <c r="J958">
        <f>Tabela1[[#This Row],[Valor Total]]/Tabela1[[#This Row],[Quantidade]]</f>
        <v>494.99</v>
      </c>
      <c r="K958" t="str">
        <f>TEXT(Tabela1[[#This Row],[Data]],"aaaa-mm")</f>
        <v>2025-11</v>
      </c>
    </row>
    <row r="959" spans="1:11">
      <c r="A959" s="1">
        <v>45977</v>
      </c>
      <c r="B959" t="s">
        <v>61</v>
      </c>
      <c r="C959" t="s">
        <v>8</v>
      </c>
      <c r="D959" t="s">
        <v>73</v>
      </c>
      <c r="E959">
        <v>1</v>
      </c>
      <c r="F959">
        <v>75.739999999999995</v>
      </c>
      <c r="G959" t="s">
        <v>12</v>
      </c>
      <c r="H959" t="s">
        <v>63</v>
      </c>
      <c r="I959">
        <v>75.739999999999995</v>
      </c>
      <c r="J959">
        <f>Tabela1[[#This Row],[Valor Total]]/Tabela1[[#This Row],[Quantidade]]</f>
        <v>75.739999999999995</v>
      </c>
      <c r="K959" t="str">
        <f>TEXT(Tabela1[[#This Row],[Data]],"aaaa-mm")</f>
        <v>2025-11</v>
      </c>
    </row>
    <row r="960" spans="1:11">
      <c r="A960" s="1">
        <v>45978</v>
      </c>
      <c r="B960" t="s">
        <v>61</v>
      </c>
      <c r="C960" t="s">
        <v>5</v>
      </c>
      <c r="D960" t="s">
        <v>66</v>
      </c>
      <c r="E960">
        <v>6</v>
      </c>
      <c r="F960">
        <v>217.96</v>
      </c>
      <c r="G960" t="s">
        <v>13</v>
      </c>
      <c r="H960" t="s">
        <v>64</v>
      </c>
      <c r="I960">
        <v>1307.76</v>
      </c>
      <c r="J960">
        <f>Tabela1[[#This Row],[Valor Total]]/Tabela1[[#This Row],[Quantidade]]</f>
        <v>217.96</v>
      </c>
      <c r="K960" t="str">
        <f>TEXT(Tabela1[[#This Row],[Data]],"aaaa-mm")</f>
        <v>2025-11</v>
      </c>
    </row>
    <row r="961" spans="1:11">
      <c r="A961" s="1">
        <v>45979</v>
      </c>
      <c r="B961" t="s">
        <v>68</v>
      </c>
      <c r="C961" t="s">
        <v>7</v>
      </c>
      <c r="D961" t="s">
        <v>73</v>
      </c>
      <c r="E961">
        <v>5</v>
      </c>
      <c r="F961">
        <v>307.81</v>
      </c>
      <c r="G961" t="s">
        <v>12</v>
      </c>
      <c r="H961" t="s">
        <v>64</v>
      </c>
      <c r="I961">
        <v>1539.05</v>
      </c>
      <c r="J961">
        <f>Tabela1[[#This Row],[Valor Total]]/Tabela1[[#This Row],[Quantidade]]</f>
        <v>307.81</v>
      </c>
      <c r="K961" t="str">
        <f>TEXT(Tabela1[[#This Row],[Data]],"aaaa-mm")</f>
        <v>2025-11</v>
      </c>
    </row>
    <row r="962" spans="1:11">
      <c r="A962" s="1">
        <v>45980</v>
      </c>
      <c r="B962" t="s">
        <v>74</v>
      </c>
      <c r="C962" t="s">
        <v>4</v>
      </c>
      <c r="D962" t="s">
        <v>73</v>
      </c>
      <c r="E962">
        <v>2</v>
      </c>
      <c r="F962">
        <v>22.07</v>
      </c>
      <c r="G962" t="s">
        <v>14</v>
      </c>
      <c r="H962" t="s">
        <v>71</v>
      </c>
      <c r="I962">
        <v>44.14</v>
      </c>
      <c r="J962">
        <f>Tabela1[[#This Row],[Valor Total]]/Tabela1[[#This Row],[Quantidade]]</f>
        <v>22.07</v>
      </c>
      <c r="K962" t="str">
        <f>TEXT(Tabela1[[#This Row],[Data]],"aaaa-mm")</f>
        <v>2025-11</v>
      </c>
    </row>
    <row r="963" spans="1:11">
      <c r="A963" s="1">
        <v>45981</v>
      </c>
      <c r="B963" t="s">
        <v>74</v>
      </c>
      <c r="C963" t="s">
        <v>8</v>
      </c>
      <c r="D963" t="s">
        <v>73</v>
      </c>
      <c r="E963">
        <v>3</v>
      </c>
      <c r="F963">
        <v>37.89</v>
      </c>
      <c r="G963" t="s">
        <v>13</v>
      </c>
      <c r="H963" t="s">
        <v>63</v>
      </c>
      <c r="I963">
        <v>113.67</v>
      </c>
      <c r="J963">
        <f>Tabela1[[#This Row],[Valor Total]]/Tabela1[[#This Row],[Quantidade]]</f>
        <v>37.89</v>
      </c>
      <c r="K963" t="str">
        <f>TEXT(Tabela1[[#This Row],[Data]],"aaaa-mm")</f>
        <v>2025-11</v>
      </c>
    </row>
    <row r="964" spans="1:11">
      <c r="A964" s="1">
        <v>45982</v>
      </c>
      <c r="B964" t="s">
        <v>72</v>
      </c>
      <c r="C964" t="s">
        <v>7</v>
      </c>
      <c r="D964" t="s">
        <v>62</v>
      </c>
      <c r="E964">
        <v>9</v>
      </c>
      <c r="F964">
        <v>285.35000000000002</v>
      </c>
      <c r="G964" t="s">
        <v>15</v>
      </c>
      <c r="H964" t="s">
        <v>71</v>
      </c>
      <c r="I964">
        <v>2568.15</v>
      </c>
      <c r="J964">
        <f>Tabela1[[#This Row],[Valor Total]]/Tabela1[[#This Row],[Quantidade]]</f>
        <v>285.35000000000002</v>
      </c>
      <c r="K964" t="str">
        <f>TEXT(Tabela1[[#This Row],[Data]],"aaaa-mm")</f>
        <v>2025-11</v>
      </c>
    </row>
    <row r="965" spans="1:11">
      <c r="A965" s="1">
        <v>45983</v>
      </c>
      <c r="B965" t="s">
        <v>68</v>
      </c>
      <c r="C965" t="s">
        <v>8</v>
      </c>
      <c r="D965" t="s">
        <v>65</v>
      </c>
      <c r="E965">
        <v>7</v>
      </c>
      <c r="F965">
        <v>214.2</v>
      </c>
      <c r="G965" t="s">
        <v>11</v>
      </c>
      <c r="H965" t="s">
        <v>64</v>
      </c>
      <c r="I965">
        <v>1499.4</v>
      </c>
      <c r="J965">
        <f>Tabela1[[#This Row],[Valor Total]]/Tabela1[[#This Row],[Quantidade]]</f>
        <v>214.20000000000002</v>
      </c>
      <c r="K965" t="str">
        <f>TEXT(Tabela1[[#This Row],[Data]],"aaaa-mm")</f>
        <v>2025-11</v>
      </c>
    </row>
    <row r="966" spans="1:11">
      <c r="A966" s="1">
        <v>45984</v>
      </c>
      <c r="B966" t="s">
        <v>61</v>
      </c>
      <c r="C966" t="s">
        <v>6</v>
      </c>
      <c r="D966" t="s">
        <v>62</v>
      </c>
      <c r="E966">
        <v>6</v>
      </c>
      <c r="F966">
        <v>376.77</v>
      </c>
      <c r="G966" t="s">
        <v>12</v>
      </c>
      <c r="H966" t="s">
        <v>71</v>
      </c>
      <c r="I966">
        <v>2260.62</v>
      </c>
      <c r="J966">
        <f>Tabela1[[#This Row],[Valor Total]]/Tabela1[[#This Row],[Quantidade]]</f>
        <v>376.77</v>
      </c>
      <c r="K966" t="str">
        <f>TEXT(Tabela1[[#This Row],[Data]],"aaaa-mm")</f>
        <v>2025-11</v>
      </c>
    </row>
    <row r="967" spans="1:11">
      <c r="A967" s="1">
        <v>45985</v>
      </c>
      <c r="B967" t="s">
        <v>68</v>
      </c>
      <c r="C967" t="s">
        <v>4</v>
      </c>
      <c r="D967" t="s">
        <v>66</v>
      </c>
      <c r="E967">
        <v>7</v>
      </c>
      <c r="F967">
        <v>60.74</v>
      </c>
      <c r="G967" t="s">
        <v>14</v>
      </c>
      <c r="H967" t="s">
        <v>71</v>
      </c>
      <c r="I967">
        <v>425.18</v>
      </c>
      <c r="J967">
        <f>Tabela1[[#This Row],[Valor Total]]/Tabela1[[#This Row],[Quantidade]]</f>
        <v>60.74</v>
      </c>
      <c r="K967" t="str">
        <f>TEXT(Tabela1[[#This Row],[Data]],"aaaa-mm")</f>
        <v>2025-11</v>
      </c>
    </row>
    <row r="968" spans="1:11">
      <c r="A968" s="1">
        <v>45986</v>
      </c>
      <c r="B968" t="s">
        <v>61</v>
      </c>
      <c r="C968" t="s">
        <v>4</v>
      </c>
      <c r="D968" t="s">
        <v>70</v>
      </c>
      <c r="E968">
        <v>3</v>
      </c>
      <c r="F968">
        <v>428.12</v>
      </c>
      <c r="G968" t="s">
        <v>12</v>
      </c>
      <c r="H968" t="s">
        <v>71</v>
      </c>
      <c r="I968">
        <v>1284.3599999999999</v>
      </c>
      <c r="J968">
        <f>Tabela1[[#This Row],[Valor Total]]/Tabela1[[#This Row],[Quantidade]]</f>
        <v>428.11999999999995</v>
      </c>
      <c r="K968" t="str">
        <f>TEXT(Tabela1[[#This Row],[Data]],"aaaa-mm")</f>
        <v>2025-11</v>
      </c>
    </row>
    <row r="969" spans="1:11">
      <c r="A969" s="1">
        <v>45988</v>
      </c>
      <c r="B969" t="s">
        <v>74</v>
      </c>
      <c r="C969" t="s">
        <v>7</v>
      </c>
      <c r="D969" t="s">
        <v>65</v>
      </c>
      <c r="E969">
        <v>8</v>
      </c>
      <c r="F969">
        <v>195.42</v>
      </c>
      <c r="G969" t="s">
        <v>15</v>
      </c>
      <c r="H969" t="s">
        <v>63</v>
      </c>
      <c r="I969">
        <v>1563.36</v>
      </c>
      <c r="J969">
        <f>Tabela1[[#This Row],[Valor Total]]/Tabela1[[#This Row],[Quantidade]]</f>
        <v>195.42</v>
      </c>
      <c r="K969" t="str">
        <f>TEXT(Tabela1[[#This Row],[Data]],"aaaa-mm")</f>
        <v>2025-11</v>
      </c>
    </row>
    <row r="970" spans="1:11">
      <c r="A970" s="1">
        <v>45989</v>
      </c>
      <c r="B970" t="s">
        <v>68</v>
      </c>
      <c r="C970" t="s">
        <v>7</v>
      </c>
      <c r="D970" t="s">
        <v>62</v>
      </c>
      <c r="E970">
        <v>1</v>
      </c>
      <c r="F970">
        <v>351.67</v>
      </c>
      <c r="G970" t="s">
        <v>13</v>
      </c>
      <c r="H970" t="s">
        <v>64</v>
      </c>
      <c r="I970">
        <v>351.67</v>
      </c>
      <c r="J970">
        <f>Tabela1[[#This Row],[Valor Total]]/Tabela1[[#This Row],[Quantidade]]</f>
        <v>351.67</v>
      </c>
      <c r="K970" t="str">
        <f>TEXT(Tabela1[[#This Row],[Data]],"aaaa-mm")</f>
        <v>2025-11</v>
      </c>
    </row>
    <row r="971" spans="1:11">
      <c r="A971" s="1">
        <v>45990</v>
      </c>
      <c r="B971" t="s">
        <v>69</v>
      </c>
      <c r="C971" t="s">
        <v>8</v>
      </c>
      <c r="D971" t="s">
        <v>70</v>
      </c>
      <c r="E971">
        <v>1</v>
      </c>
      <c r="F971">
        <v>248.55</v>
      </c>
      <c r="G971" t="s">
        <v>15</v>
      </c>
      <c r="H971" t="s">
        <v>63</v>
      </c>
      <c r="I971">
        <v>248.55</v>
      </c>
      <c r="J971">
        <f>Tabela1[[#This Row],[Valor Total]]/Tabela1[[#This Row],[Quantidade]]</f>
        <v>248.55</v>
      </c>
      <c r="K971" t="str">
        <f>TEXT(Tabela1[[#This Row],[Data]],"aaaa-mm")</f>
        <v>2025-11</v>
      </c>
    </row>
    <row r="972" spans="1:11">
      <c r="A972" s="1">
        <v>45991</v>
      </c>
      <c r="B972" t="s">
        <v>61</v>
      </c>
      <c r="C972" t="s">
        <v>4</v>
      </c>
      <c r="D972" t="s">
        <v>66</v>
      </c>
      <c r="E972">
        <v>2</v>
      </c>
      <c r="F972">
        <v>33.159999999999997</v>
      </c>
      <c r="G972" t="s">
        <v>14</v>
      </c>
      <c r="H972" t="s">
        <v>67</v>
      </c>
      <c r="I972">
        <v>66.319999999999993</v>
      </c>
      <c r="J972">
        <f>Tabela1[[#This Row],[Valor Total]]/Tabela1[[#This Row],[Quantidade]]</f>
        <v>33.159999999999997</v>
      </c>
      <c r="K972" t="str">
        <f>TEXT(Tabela1[[#This Row],[Data]],"aaaa-mm")</f>
        <v>2025-11</v>
      </c>
    </row>
    <row r="973" spans="1:11">
      <c r="A973" s="1">
        <v>45992</v>
      </c>
      <c r="B973" t="s">
        <v>69</v>
      </c>
      <c r="C973" t="s">
        <v>6</v>
      </c>
      <c r="D973" t="s">
        <v>73</v>
      </c>
      <c r="E973">
        <v>1</v>
      </c>
      <c r="F973">
        <v>298.02</v>
      </c>
      <c r="G973" t="s">
        <v>11</v>
      </c>
      <c r="H973" t="s">
        <v>67</v>
      </c>
      <c r="I973">
        <v>298.02</v>
      </c>
      <c r="J973">
        <f>Tabela1[[#This Row],[Valor Total]]/Tabela1[[#This Row],[Quantidade]]</f>
        <v>298.02</v>
      </c>
      <c r="K973" t="str">
        <f>TEXT(Tabela1[[#This Row],[Data]],"aaaa-mm")</f>
        <v>2025-12</v>
      </c>
    </row>
    <row r="974" spans="1:11">
      <c r="A974" s="1">
        <v>45993</v>
      </c>
      <c r="B974" t="s">
        <v>61</v>
      </c>
      <c r="C974" t="s">
        <v>5</v>
      </c>
      <c r="D974" t="s">
        <v>62</v>
      </c>
      <c r="E974">
        <v>5</v>
      </c>
      <c r="F974">
        <v>337.36</v>
      </c>
      <c r="G974" t="s">
        <v>11</v>
      </c>
      <c r="H974" t="s">
        <v>67</v>
      </c>
      <c r="I974">
        <v>1686.8</v>
      </c>
      <c r="J974">
        <f>Tabela1[[#This Row],[Valor Total]]/Tabela1[[#This Row],[Quantidade]]</f>
        <v>337.36</v>
      </c>
      <c r="K974" t="str">
        <f>TEXT(Tabela1[[#This Row],[Data]],"aaaa-mm")</f>
        <v>2025-12</v>
      </c>
    </row>
    <row r="975" spans="1:11">
      <c r="A975" s="1">
        <v>45994</v>
      </c>
      <c r="B975" t="s">
        <v>74</v>
      </c>
      <c r="C975" t="s">
        <v>8</v>
      </c>
      <c r="D975" t="s">
        <v>73</v>
      </c>
      <c r="E975">
        <v>2</v>
      </c>
      <c r="F975">
        <v>32.799999999999997</v>
      </c>
      <c r="G975" t="s">
        <v>13</v>
      </c>
      <c r="H975" t="s">
        <v>63</v>
      </c>
      <c r="I975">
        <v>65.599999999999994</v>
      </c>
      <c r="J975">
        <f>Tabela1[[#This Row],[Valor Total]]/Tabela1[[#This Row],[Quantidade]]</f>
        <v>32.799999999999997</v>
      </c>
      <c r="K975" t="str">
        <f>TEXT(Tabela1[[#This Row],[Data]],"aaaa-mm")</f>
        <v>2025-12</v>
      </c>
    </row>
    <row r="976" spans="1:11">
      <c r="A976" s="1">
        <v>45995</v>
      </c>
      <c r="B976" t="s">
        <v>74</v>
      </c>
      <c r="C976" t="s">
        <v>4</v>
      </c>
      <c r="D976" t="s">
        <v>65</v>
      </c>
      <c r="E976">
        <v>1</v>
      </c>
      <c r="F976">
        <v>169.91</v>
      </c>
      <c r="G976" t="s">
        <v>15</v>
      </c>
      <c r="H976" t="s">
        <v>71</v>
      </c>
      <c r="I976">
        <v>169.91</v>
      </c>
      <c r="J976">
        <f>Tabela1[[#This Row],[Valor Total]]/Tabela1[[#This Row],[Quantidade]]</f>
        <v>169.91</v>
      </c>
      <c r="K976" t="str">
        <f>TEXT(Tabela1[[#This Row],[Data]],"aaaa-mm")</f>
        <v>2025-12</v>
      </c>
    </row>
    <row r="977" spans="1:11">
      <c r="A977" s="1">
        <v>45996</v>
      </c>
      <c r="B977" t="s">
        <v>69</v>
      </c>
      <c r="C977" t="s">
        <v>4</v>
      </c>
      <c r="D977" t="s">
        <v>66</v>
      </c>
      <c r="E977">
        <v>7</v>
      </c>
      <c r="F977">
        <v>441.37</v>
      </c>
      <c r="G977" t="s">
        <v>14</v>
      </c>
      <c r="H977" t="s">
        <v>64</v>
      </c>
      <c r="I977">
        <v>3089.59</v>
      </c>
      <c r="J977">
        <f>Tabela1[[#This Row],[Valor Total]]/Tabela1[[#This Row],[Quantidade]]</f>
        <v>441.37</v>
      </c>
      <c r="K977" t="str">
        <f>TEXT(Tabela1[[#This Row],[Data]],"aaaa-mm")</f>
        <v>2025-12</v>
      </c>
    </row>
    <row r="978" spans="1:11">
      <c r="A978" s="1">
        <v>45997</v>
      </c>
      <c r="B978" t="s">
        <v>61</v>
      </c>
      <c r="C978" t="s">
        <v>8</v>
      </c>
      <c r="D978" t="s">
        <v>70</v>
      </c>
      <c r="E978">
        <v>4</v>
      </c>
      <c r="F978">
        <v>312.29000000000002</v>
      </c>
      <c r="G978" t="s">
        <v>11</v>
      </c>
      <c r="H978" t="s">
        <v>63</v>
      </c>
      <c r="I978">
        <v>1249.1600000000001</v>
      </c>
      <c r="J978">
        <f>Tabela1[[#This Row],[Valor Total]]/Tabela1[[#This Row],[Quantidade]]</f>
        <v>312.29000000000002</v>
      </c>
      <c r="K978" t="str">
        <f>TEXT(Tabela1[[#This Row],[Data]],"aaaa-mm")</f>
        <v>2025-12</v>
      </c>
    </row>
    <row r="979" spans="1:11">
      <c r="A979" s="1">
        <v>45998</v>
      </c>
      <c r="B979" t="s">
        <v>74</v>
      </c>
      <c r="C979" t="s">
        <v>8</v>
      </c>
      <c r="D979" t="s">
        <v>70</v>
      </c>
      <c r="E979">
        <v>3</v>
      </c>
      <c r="F979">
        <v>458.88</v>
      </c>
      <c r="G979" t="s">
        <v>15</v>
      </c>
      <c r="H979" t="s">
        <v>67</v>
      </c>
      <c r="I979">
        <v>1376.64</v>
      </c>
      <c r="J979">
        <f>Tabela1[[#This Row],[Valor Total]]/Tabela1[[#This Row],[Quantidade]]</f>
        <v>458.88000000000005</v>
      </c>
      <c r="K979" t="str">
        <f>TEXT(Tabela1[[#This Row],[Data]],"aaaa-mm")</f>
        <v>2025-12</v>
      </c>
    </row>
    <row r="980" spans="1:11">
      <c r="A980" s="1">
        <v>46000</v>
      </c>
      <c r="B980" t="s">
        <v>72</v>
      </c>
      <c r="C980" t="s">
        <v>6</v>
      </c>
      <c r="D980" t="s">
        <v>62</v>
      </c>
      <c r="E980">
        <v>9</v>
      </c>
      <c r="F980">
        <v>130.29</v>
      </c>
      <c r="G980" t="s">
        <v>15</v>
      </c>
      <c r="H980" t="s">
        <v>67</v>
      </c>
      <c r="I980">
        <v>1172.6099999999999</v>
      </c>
      <c r="J980">
        <f>Tabela1[[#This Row],[Valor Total]]/Tabela1[[#This Row],[Quantidade]]</f>
        <v>130.29</v>
      </c>
      <c r="K980" t="str">
        <f>TEXT(Tabela1[[#This Row],[Data]],"aaaa-mm")</f>
        <v>2025-12</v>
      </c>
    </row>
    <row r="981" spans="1:11">
      <c r="A981" s="1">
        <v>46001</v>
      </c>
      <c r="B981" t="s">
        <v>61</v>
      </c>
      <c r="C981" t="s">
        <v>4</v>
      </c>
      <c r="D981" t="s">
        <v>62</v>
      </c>
      <c r="E981">
        <v>1</v>
      </c>
      <c r="F981">
        <v>127.72</v>
      </c>
      <c r="G981" t="s">
        <v>14</v>
      </c>
      <c r="H981" t="s">
        <v>67</v>
      </c>
      <c r="I981">
        <v>127.72</v>
      </c>
      <c r="J981">
        <f>Tabela1[[#This Row],[Valor Total]]/Tabela1[[#This Row],[Quantidade]]</f>
        <v>127.72</v>
      </c>
      <c r="K981" t="str">
        <f>TEXT(Tabela1[[#This Row],[Data]],"aaaa-mm")</f>
        <v>2025-12</v>
      </c>
    </row>
    <row r="982" spans="1:11">
      <c r="A982" s="1">
        <v>46002</v>
      </c>
      <c r="B982" t="s">
        <v>61</v>
      </c>
      <c r="C982" t="s">
        <v>4</v>
      </c>
      <c r="D982" t="s">
        <v>65</v>
      </c>
      <c r="E982">
        <v>7</v>
      </c>
      <c r="F982">
        <v>408.55</v>
      </c>
      <c r="G982" t="s">
        <v>11</v>
      </c>
      <c r="H982" t="s">
        <v>71</v>
      </c>
      <c r="I982">
        <v>2859.85</v>
      </c>
      <c r="J982">
        <f>Tabela1[[#This Row],[Valor Total]]/Tabela1[[#This Row],[Quantidade]]</f>
        <v>408.55</v>
      </c>
      <c r="K982" t="str">
        <f>TEXT(Tabela1[[#This Row],[Data]],"aaaa-mm")</f>
        <v>2025-12</v>
      </c>
    </row>
    <row r="983" spans="1:11">
      <c r="A983" s="1">
        <v>46003</v>
      </c>
      <c r="B983" t="s">
        <v>74</v>
      </c>
      <c r="C983" t="s">
        <v>5</v>
      </c>
      <c r="D983" t="s">
        <v>65</v>
      </c>
      <c r="E983">
        <v>4</v>
      </c>
      <c r="F983">
        <v>431.49</v>
      </c>
      <c r="G983" t="s">
        <v>15</v>
      </c>
      <c r="H983" t="s">
        <v>64</v>
      </c>
      <c r="I983">
        <v>1725.96</v>
      </c>
      <c r="J983">
        <f>Tabela1[[#This Row],[Valor Total]]/Tabela1[[#This Row],[Quantidade]]</f>
        <v>431.49</v>
      </c>
      <c r="K983" t="str">
        <f>TEXT(Tabela1[[#This Row],[Data]],"aaaa-mm")</f>
        <v>2025-12</v>
      </c>
    </row>
    <row r="984" spans="1:11">
      <c r="A984" s="1">
        <v>46004</v>
      </c>
      <c r="B984" t="s">
        <v>68</v>
      </c>
      <c r="C984" t="s">
        <v>8</v>
      </c>
      <c r="D984" t="s">
        <v>70</v>
      </c>
      <c r="E984">
        <v>5</v>
      </c>
      <c r="F984">
        <v>207.72</v>
      </c>
      <c r="G984" t="s">
        <v>15</v>
      </c>
      <c r="H984" t="s">
        <v>71</v>
      </c>
      <c r="I984">
        <v>1038.5999999999999</v>
      </c>
      <c r="J984">
        <f>Tabela1[[#This Row],[Valor Total]]/Tabela1[[#This Row],[Quantidade]]</f>
        <v>207.71999999999997</v>
      </c>
      <c r="K984" t="str">
        <f>TEXT(Tabela1[[#This Row],[Data]],"aaaa-mm")</f>
        <v>2025-12</v>
      </c>
    </row>
    <row r="985" spans="1:11">
      <c r="A985" s="1">
        <v>46005</v>
      </c>
      <c r="B985" t="s">
        <v>72</v>
      </c>
      <c r="C985" t="s">
        <v>8</v>
      </c>
      <c r="D985" t="s">
        <v>62</v>
      </c>
      <c r="E985">
        <v>8</v>
      </c>
      <c r="F985">
        <v>403</v>
      </c>
      <c r="G985" t="s">
        <v>12</v>
      </c>
      <c r="H985" t="s">
        <v>64</v>
      </c>
      <c r="I985">
        <v>3224</v>
      </c>
      <c r="J985">
        <f>Tabela1[[#This Row],[Valor Total]]/Tabela1[[#This Row],[Quantidade]]</f>
        <v>403</v>
      </c>
      <c r="K985" t="str">
        <f>TEXT(Tabela1[[#This Row],[Data]],"aaaa-mm")</f>
        <v>2025-12</v>
      </c>
    </row>
    <row r="986" spans="1:11">
      <c r="A986" s="1">
        <v>46006</v>
      </c>
      <c r="B986" t="s">
        <v>68</v>
      </c>
      <c r="C986" t="s">
        <v>4</v>
      </c>
      <c r="D986" t="s">
        <v>70</v>
      </c>
      <c r="E986">
        <v>9</v>
      </c>
      <c r="F986">
        <v>53.86</v>
      </c>
      <c r="G986" t="s">
        <v>12</v>
      </c>
      <c r="H986" t="s">
        <v>67</v>
      </c>
      <c r="I986">
        <v>484.74</v>
      </c>
      <c r="J986">
        <f>Tabela1[[#This Row],[Valor Total]]/Tabela1[[#This Row],[Quantidade]]</f>
        <v>53.86</v>
      </c>
      <c r="K986" t="str">
        <f>TEXT(Tabela1[[#This Row],[Data]],"aaaa-mm")</f>
        <v>2025-12</v>
      </c>
    </row>
    <row r="987" spans="1:11">
      <c r="A987" s="1">
        <v>46007</v>
      </c>
      <c r="B987" t="s">
        <v>72</v>
      </c>
      <c r="C987" t="s">
        <v>7</v>
      </c>
      <c r="D987" t="s">
        <v>73</v>
      </c>
      <c r="E987">
        <v>1</v>
      </c>
      <c r="F987">
        <v>105.1</v>
      </c>
      <c r="G987" t="s">
        <v>13</v>
      </c>
      <c r="H987" t="s">
        <v>63</v>
      </c>
      <c r="I987">
        <v>105.1</v>
      </c>
      <c r="J987">
        <f>Tabela1[[#This Row],[Valor Total]]/Tabela1[[#This Row],[Quantidade]]</f>
        <v>105.1</v>
      </c>
      <c r="K987" t="str">
        <f>TEXT(Tabela1[[#This Row],[Data]],"aaaa-mm")</f>
        <v>2025-12</v>
      </c>
    </row>
    <row r="988" spans="1:11">
      <c r="A988" s="1">
        <v>46008</v>
      </c>
      <c r="B988" t="s">
        <v>74</v>
      </c>
      <c r="C988" t="s">
        <v>5</v>
      </c>
      <c r="D988" t="s">
        <v>70</v>
      </c>
      <c r="E988">
        <v>5</v>
      </c>
      <c r="F988">
        <v>63.26</v>
      </c>
      <c r="G988" t="s">
        <v>14</v>
      </c>
      <c r="H988" t="s">
        <v>64</v>
      </c>
      <c r="I988">
        <v>316.3</v>
      </c>
      <c r="J988">
        <f>Tabela1[[#This Row],[Valor Total]]/Tabela1[[#This Row],[Quantidade]]</f>
        <v>63.260000000000005</v>
      </c>
      <c r="K988" t="str">
        <f>TEXT(Tabela1[[#This Row],[Data]],"aaaa-mm")</f>
        <v>2025-12</v>
      </c>
    </row>
    <row r="989" spans="1:11">
      <c r="A989" s="1">
        <v>46009</v>
      </c>
      <c r="B989" t="s">
        <v>69</v>
      </c>
      <c r="C989" t="s">
        <v>6</v>
      </c>
      <c r="D989" t="s">
        <v>62</v>
      </c>
      <c r="E989">
        <v>4</v>
      </c>
      <c r="F989">
        <v>194.41</v>
      </c>
      <c r="G989" t="s">
        <v>11</v>
      </c>
      <c r="H989" t="s">
        <v>64</v>
      </c>
      <c r="I989">
        <v>777.64</v>
      </c>
      <c r="J989">
        <f>Tabela1[[#This Row],[Valor Total]]/Tabela1[[#This Row],[Quantidade]]</f>
        <v>194.41</v>
      </c>
      <c r="K989" t="str">
        <f>TEXT(Tabela1[[#This Row],[Data]],"aaaa-mm")</f>
        <v>2025-12</v>
      </c>
    </row>
    <row r="990" spans="1:11">
      <c r="A990" s="1">
        <v>46011</v>
      </c>
      <c r="B990" t="s">
        <v>74</v>
      </c>
      <c r="C990" t="s">
        <v>5</v>
      </c>
      <c r="D990" t="s">
        <v>70</v>
      </c>
      <c r="E990">
        <v>7</v>
      </c>
      <c r="F990">
        <v>327</v>
      </c>
      <c r="G990" t="s">
        <v>12</v>
      </c>
      <c r="H990" t="s">
        <v>63</v>
      </c>
      <c r="I990">
        <v>2289</v>
      </c>
      <c r="J990">
        <f>Tabela1[[#This Row],[Valor Total]]/Tabela1[[#This Row],[Quantidade]]</f>
        <v>327</v>
      </c>
      <c r="K990" t="str">
        <f>TEXT(Tabela1[[#This Row],[Data]],"aaaa-mm")</f>
        <v>2025-12</v>
      </c>
    </row>
    <row r="991" spans="1:11">
      <c r="A991" s="1">
        <v>46012</v>
      </c>
      <c r="B991" t="s">
        <v>69</v>
      </c>
      <c r="C991" t="s">
        <v>6</v>
      </c>
      <c r="D991" t="s">
        <v>62</v>
      </c>
      <c r="E991">
        <v>6</v>
      </c>
      <c r="F991">
        <v>213.2</v>
      </c>
      <c r="G991" t="s">
        <v>15</v>
      </c>
      <c r="H991" t="s">
        <v>67</v>
      </c>
      <c r="I991">
        <v>1279.2</v>
      </c>
      <c r="J991">
        <f>Tabela1[[#This Row],[Valor Total]]/Tabela1[[#This Row],[Quantidade]]</f>
        <v>213.20000000000002</v>
      </c>
      <c r="K991" t="str">
        <f>TEXT(Tabela1[[#This Row],[Data]],"aaaa-mm")</f>
        <v>2025-12</v>
      </c>
    </row>
    <row r="992" spans="1:11">
      <c r="A992" s="1">
        <v>46013</v>
      </c>
      <c r="B992" t="s">
        <v>68</v>
      </c>
      <c r="C992" t="s">
        <v>8</v>
      </c>
      <c r="D992" t="s">
        <v>66</v>
      </c>
      <c r="E992">
        <v>3</v>
      </c>
      <c r="F992">
        <v>264.62</v>
      </c>
      <c r="G992" t="s">
        <v>11</v>
      </c>
      <c r="H992" t="s">
        <v>63</v>
      </c>
      <c r="I992">
        <v>793.86</v>
      </c>
      <c r="J992">
        <f>Tabela1[[#This Row],[Valor Total]]/Tabela1[[#This Row],[Quantidade]]</f>
        <v>264.62</v>
      </c>
      <c r="K992" t="str">
        <f>TEXT(Tabela1[[#This Row],[Data]],"aaaa-mm")</f>
        <v>2025-12</v>
      </c>
    </row>
    <row r="993" spans="1:11">
      <c r="A993" s="1">
        <v>46014</v>
      </c>
      <c r="B993" t="s">
        <v>72</v>
      </c>
      <c r="C993" t="s">
        <v>7</v>
      </c>
      <c r="D993" t="s">
        <v>62</v>
      </c>
      <c r="E993">
        <v>1</v>
      </c>
      <c r="F993">
        <v>173.67</v>
      </c>
      <c r="G993" t="s">
        <v>15</v>
      </c>
      <c r="H993" t="s">
        <v>67</v>
      </c>
      <c r="I993">
        <v>173.67</v>
      </c>
      <c r="J993">
        <f>Tabela1[[#This Row],[Valor Total]]/Tabela1[[#This Row],[Quantidade]]</f>
        <v>173.67</v>
      </c>
      <c r="K993" t="str">
        <f>TEXT(Tabela1[[#This Row],[Data]],"aaaa-mm")</f>
        <v>2025-12</v>
      </c>
    </row>
    <row r="994" spans="1:11">
      <c r="A994" s="1">
        <v>46015</v>
      </c>
      <c r="B994" t="s">
        <v>72</v>
      </c>
      <c r="C994" t="s">
        <v>7</v>
      </c>
      <c r="D994" t="s">
        <v>73</v>
      </c>
      <c r="E994">
        <v>8</v>
      </c>
      <c r="F994">
        <v>288.24</v>
      </c>
      <c r="G994" t="s">
        <v>13</v>
      </c>
      <c r="H994" t="s">
        <v>63</v>
      </c>
      <c r="I994">
        <v>2305.92</v>
      </c>
      <c r="J994">
        <f>Tabela1[[#This Row],[Valor Total]]/Tabela1[[#This Row],[Quantidade]]</f>
        <v>288.24</v>
      </c>
      <c r="K994" t="str">
        <f>TEXT(Tabela1[[#This Row],[Data]],"aaaa-mm")</f>
        <v>2025-12</v>
      </c>
    </row>
    <row r="995" spans="1:11">
      <c r="A995" s="1">
        <v>46016</v>
      </c>
      <c r="B995" t="s">
        <v>68</v>
      </c>
      <c r="C995" t="s">
        <v>5</v>
      </c>
      <c r="D995" t="s">
        <v>70</v>
      </c>
      <c r="E995">
        <v>7</v>
      </c>
      <c r="F995">
        <v>430.28</v>
      </c>
      <c r="G995" t="s">
        <v>12</v>
      </c>
      <c r="H995" t="s">
        <v>64</v>
      </c>
      <c r="I995">
        <v>3011.96</v>
      </c>
      <c r="J995">
        <f>Tabela1[[#This Row],[Valor Total]]/Tabela1[[#This Row],[Quantidade]]</f>
        <v>430.28000000000003</v>
      </c>
      <c r="K995" t="str">
        <f>TEXT(Tabela1[[#This Row],[Data]],"aaaa-mm")</f>
        <v>2025-12</v>
      </c>
    </row>
    <row r="996" spans="1:11">
      <c r="A996" s="1">
        <v>46017</v>
      </c>
      <c r="B996" t="s">
        <v>61</v>
      </c>
      <c r="C996" t="s">
        <v>7</v>
      </c>
      <c r="D996" t="s">
        <v>62</v>
      </c>
      <c r="E996">
        <v>8</v>
      </c>
      <c r="F996">
        <v>87.59</v>
      </c>
      <c r="G996" t="s">
        <v>15</v>
      </c>
      <c r="H996" t="s">
        <v>63</v>
      </c>
      <c r="I996">
        <v>700.72</v>
      </c>
      <c r="J996">
        <f>Tabela1[[#This Row],[Valor Total]]/Tabela1[[#This Row],[Quantidade]]</f>
        <v>87.59</v>
      </c>
      <c r="K996" t="str">
        <f>TEXT(Tabela1[[#This Row],[Data]],"aaaa-mm")</f>
        <v>2025-12</v>
      </c>
    </row>
    <row r="997" spans="1:11">
      <c r="A997" s="1">
        <v>46018</v>
      </c>
      <c r="B997" t="s">
        <v>72</v>
      </c>
      <c r="C997" t="s">
        <v>6</v>
      </c>
      <c r="D997" t="s">
        <v>73</v>
      </c>
      <c r="E997">
        <v>7</v>
      </c>
      <c r="F997">
        <v>316.72000000000003</v>
      </c>
      <c r="G997" t="s">
        <v>14</v>
      </c>
      <c r="H997" t="s">
        <v>64</v>
      </c>
      <c r="I997">
        <v>2217.04</v>
      </c>
      <c r="J997" s="3">
        <f>Tabela1[[#This Row],[Valor Total]]/Tabela1[[#This Row],[Quantidade]]</f>
        <v>316.71999999999997</v>
      </c>
      <c r="K997" t="str">
        <f>TEXT(Tabela1[[#This Row],[Data]],"aaaa-mm")</f>
        <v>2025-12</v>
      </c>
    </row>
    <row r="998" spans="1:11">
      <c r="A998" s="1">
        <v>46019</v>
      </c>
      <c r="B998" t="s">
        <v>68</v>
      </c>
      <c r="C998" t="s">
        <v>7</v>
      </c>
      <c r="D998" t="s">
        <v>65</v>
      </c>
      <c r="E998">
        <v>8</v>
      </c>
      <c r="F998">
        <v>169.05</v>
      </c>
      <c r="G998" t="s">
        <v>13</v>
      </c>
      <c r="H998" t="s">
        <v>67</v>
      </c>
      <c r="I998">
        <v>1352.4</v>
      </c>
      <c r="J998" s="3">
        <f>Tabela1[[#This Row],[Valor Total]]/Tabela1[[#This Row],[Quantidade]]</f>
        <v>169.05</v>
      </c>
      <c r="K998" t="str">
        <f>TEXT(Tabela1[[#This Row],[Data]],"aaaa-mm")</f>
        <v>2025-12</v>
      </c>
    </row>
    <row r="999" spans="1:11">
      <c r="A999" s="1">
        <v>46020</v>
      </c>
      <c r="B999" t="s">
        <v>72</v>
      </c>
      <c r="C999" t="s">
        <v>4</v>
      </c>
      <c r="D999" t="s">
        <v>66</v>
      </c>
      <c r="E999">
        <v>1</v>
      </c>
      <c r="F999">
        <v>215.59</v>
      </c>
      <c r="G999" t="s">
        <v>11</v>
      </c>
      <c r="H999" t="s">
        <v>71</v>
      </c>
      <c r="I999">
        <v>215.59</v>
      </c>
      <c r="J999" s="3">
        <f>Tabela1[[#This Row],[Valor Total]]/Tabela1[[#This Row],[Quantidade]]</f>
        <v>215.59</v>
      </c>
      <c r="K999" t="str">
        <f>TEXT(Tabela1[[#This Row],[Data]],"aaaa-mm")</f>
        <v>2025-12</v>
      </c>
    </row>
    <row r="1000" spans="1:11">
      <c r="A1000" s="1">
        <v>46022</v>
      </c>
      <c r="B1000" t="s">
        <v>74</v>
      </c>
      <c r="C1000" t="s">
        <v>4</v>
      </c>
      <c r="D1000" t="s">
        <v>70</v>
      </c>
      <c r="E1000">
        <v>1</v>
      </c>
      <c r="F1000">
        <v>319.74</v>
      </c>
      <c r="G1000" t="s">
        <v>15</v>
      </c>
      <c r="H1000" t="s">
        <v>71</v>
      </c>
      <c r="I1000">
        <v>319.74</v>
      </c>
      <c r="J1000" s="3">
        <f>Tabela1[[#This Row],[Valor Total]]/Tabela1[[#This Row],[Quantidade]]</f>
        <v>319.74</v>
      </c>
      <c r="K1000" t="str">
        <f>TEXT(Tabela1[[#This Row],[Data]],"aaaa-mm")</f>
        <v>2025-12</v>
      </c>
    </row>
    <row r="1001" spans="1:11">
      <c r="A1001" s="1"/>
      <c r="J1001" s="3"/>
    </row>
    <row r="1002" spans="1:11">
      <c r="A1002" s="1"/>
      <c r="J1002" s="3"/>
    </row>
    <row r="1003" spans="1:11">
      <c r="A1003" s="1"/>
      <c r="J1003" s="3"/>
    </row>
    <row r="1004" spans="1:11">
      <c r="A1004" s="1"/>
      <c r="J1004" s="3"/>
    </row>
    <row r="1005" spans="1:11">
      <c r="A1005" s="1"/>
      <c r="J1005" s="3"/>
    </row>
    <row r="1006" spans="1:11">
      <c r="A1006" s="1"/>
      <c r="J1006" s="3"/>
    </row>
    <row r="1007" spans="1:11">
      <c r="A1007" s="1"/>
      <c r="J1007" s="3"/>
    </row>
    <row r="1008" spans="1:11">
      <c r="A1008" s="1"/>
      <c r="J1008" s="3"/>
    </row>
    <row r="1009" spans="1:10">
      <c r="A1009" s="1"/>
      <c r="J1009" s="3"/>
    </row>
    <row r="1010" spans="1:10">
      <c r="A1010" s="1"/>
      <c r="J1010" s="3"/>
    </row>
    <row r="1011" spans="1:10">
      <c r="A1011" s="1"/>
      <c r="J1011" s="3"/>
    </row>
    <row r="1012" spans="1:10">
      <c r="A1012" s="1"/>
      <c r="J1012" s="3"/>
    </row>
    <row r="1013" spans="1:10">
      <c r="A1013" s="1"/>
      <c r="J1013" s="3"/>
    </row>
    <row r="1014" spans="1:10">
      <c r="A1014" s="1"/>
      <c r="J1014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whallysongab@gmail.com</cp:lastModifiedBy>
  <cp:revision/>
  <dcterms:created xsi:type="dcterms:W3CDTF">2025-11-23T16:55:10Z</dcterms:created>
  <dcterms:modified xsi:type="dcterms:W3CDTF">2025-11-27T22:53:22Z</dcterms:modified>
  <cp:category/>
  <cp:contentStatus/>
</cp:coreProperties>
</file>